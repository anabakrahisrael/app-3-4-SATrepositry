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.elsayed/Documents/GitHub/app-3-4-SATrepositry/"/>
    </mc:Choice>
  </mc:AlternateContent>
  <xr:revisionPtr revIDLastSave="0" documentId="13_ncr:1_{22345A8E-CE14-F349-92AF-F02722696350}" xr6:coauthVersionLast="47" xr6:coauthVersionMax="47" xr10:uidLastSave="{00000000-0000-0000-0000-000000000000}"/>
  <bookViews>
    <workbookView xWindow="0" yWindow="500" windowWidth="33600" windowHeight="20500" activeTab="3" xr2:uid="{0B5A406F-DDC8-4D45-985B-D38D971BE6F9}"/>
  </bookViews>
  <sheets>
    <sheet name="Primary" sheetId="1" r:id="rId1"/>
    <sheet name="Secondary" sheetId="2" r:id="rId2"/>
    <sheet name="Survey" sheetId="3" r:id="rId3"/>
    <sheet name="Dashboard" sheetId="4" r:id="rId4"/>
  </sheets>
  <calcPr calcId="191029"/>
  <pivotCaches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74" i="4" l="1"/>
  <c r="BT74" i="4"/>
  <c r="BS74" i="4"/>
  <c r="BO74" i="4"/>
  <c r="BP74" i="4"/>
  <c r="BQ74" i="4"/>
  <c r="AV53" i="4"/>
  <c r="AV52" i="4"/>
  <c r="AV51" i="4"/>
  <c r="AV50" i="4"/>
  <c r="AV49" i="4"/>
  <c r="AV48" i="4"/>
  <c r="AV47" i="4"/>
  <c r="AV43" i="4"/>
  <c r="AV44" i="4"/>
  <c r="AV42" i="4"/>
  <c r="AV41" i="4"/>
  <c r="AV40" i="4"/>
  <c r="AV39" i="4"/>
  <c r="AV38" i="4"/>
  <c r="BL49" i="4"/>
  <c r="BK49" i="4"/>
  <c r="BI47" i="4"/>
  <c r="BG47" i="4"/>
  <c r="BG48" i="4" s="1"/>
  <c r="BG49" i="4" s="1"/>
  <c r="BI44" i="4"/>
  <c r="BG44" i="4"/>
  <c r="BF44" i="4"/>
  <c r="BF47" i="4" s="1"/>
  <c r="BF48" i="4" l="1"/>
  <c r="BF49" i="4" s="1"/>
  <c r="BI48" i="4"/>
  <c r="BI49" i="4" s="1"/>
</calcChain>
</file>

<file path=xl/sharedStrings.xml><?xml version="1.0" encoding="utf-8"?>
<sst xmlns="http://schemas.openxmlformats.org/spreadsheetml/2006/main" count="508" uniqueCount="111">
  <si>
    <t>tblLakeMeasurements</t>
  </si>
  <si>
    <t>MeasurementID</t>
  </si>
  <si>
    <t>LakeID</t>
  </si>
  <si>
    <t>SourceID</t>
  </si>
  <si>
    <t>HeavyMetalType</t>
  </si>
  <si>
    <t>pHLevel</t>
  </si>
  <si>
    <t>BiodiversityIndex</t>
  </si>
  <si>
    <t>TurbidityNTU</t>
  </si>
  <si>
    <t>Temperature</t>
  </si>
  <si>
    <t>HeavyMetalConcentrationMicroµgL</t>
  </si>
  <si>
    <t>NULL</t>
  </si>
  <si>
    <t>Lead</t>
  </si>
  <si>
    <t>Mercury</t>
  </si>
  <si>
    <t>Cadmium</t>
  </si>
  <si>
    <t>tblLakes</t>
  </si>
  <si>
    <t>LakeName</t>
  </si>
  <si>
    <t>Location</t>
  </si>
  <si>
    <t>Greenvale Reservoir</t>
  </si>
  <si>
    <t>North</t>
  </si>
  <si>
    <t>Jack Roper Reserve</t>
  </si>
  <si>
    <t>Ravenhill Reserve</t>
  </si>
  <si>
    <t>Matthews Reserve</t>
  </si>
  <si>
    <t>St Clair Reserve</t>
  </si>
  <si>
    <t>Lake Mcivor Reserve</t>
  </si>
  <si>
    <t>Cherry Lake Altona</t>
  </si>
  <si>
    <t>West</t>
  </si>
  <si>
    <t>Albert Park Lake</t>
  </si>
  <si>
    <t>City</t>
  </si>
  <si>
    <t>Wildlife Lake</t>
  </si>
  <si>
    <t>East</t>
  </si>
  <si>
    <t>Newport Lakes Reserve</t>
  </si>
  <si>
    <t>Andersons Swamp</t>
  </si>
  <si>
    <t>tblLakeSources</t>
  </si>
  <si>
    <t>DataType</t>
  </si>
  <si>
    <t>SourceName</t>
  </si>
  <si>
    <t>CollectionDate</t>
  </si>
  <si>
    <t>Secondary</t>
  </si>
  <si>
    <t>EPA-VBA</t>
  </si>
  <si>
    <t>Primary</t>
  </si>
  <si>
    <t>Experimenter</t>
  </si>
  <si>
    <t>tbRespondant</t>
  </si>
  <si>
    <t>RespondantID</t>
  </si>
  <si>
    <t>Region</t>
  </si>
  <si>
    <t>tbResponse</t>
  </si>
  <si>
    <t>ResponseID</t>
  </si>
  <si>
    <t>YearsFishing</t>
  </si>
  <si>
    <t>ReverseFishingFrequency</t>
  </si>
  <si>
    <t>ChangeInNumber</t>
  </si>
  <si>
    <t>ChangeInDiversity</t>
  </si>
  <si>
    <t>FishingProximity</t>
  </si>
  <si>
    <t>ReverseWaterQuality</t>
  </si>
  <si>
    <t>FishQuality</t>
  </si>
  <si>
    <t>Grand Total</t>
  </si>
  <si>
    <t>Feature List:</t>
  </si>
  <si>
    <t>PivotTable</t>
  </si>
  <si>
    <t>=COUNT'</t>
  </si>
  <si>
    <t>Count of Region</t>
  </si>
  <si>
    <t>FALSE</t>
  </si>
  <si>
    <t>TRUE</t>
  </si>
  <si>
    <t>PivotGraph</t>
  </si>
  <si>
    <t>Count of FP</t>
  </si>
  <si>
    <t>FishingProx*</t>
  </si>
  <si>
    <t>Interpretation: Fish stocking and distribution sites for fish in Victoria, Latitude y, Longitutde x, Fish sites primarily found in Melbourne's north and the north of Victoria</t>
  </si>
  <si>
    <t xml:space="preserve">Interpretation: Estimate 4.2 Million potential fishers in Australia that could be affected by consuming </t>
  </si>
  <si>
    <t>Interpretation: Link to first graph about 4.2 Million people in AU fishing, showcase process of consuming Heavy metals via proxy</t>
  </si>
  <si>
    <t>heavy metals via proxy, potential risk and health crisis, exaggerate.</t>
  </si>
  <si>
    <t xml:space="preserve">Interpretation: Highlight the majority impact of the problem, most impacted by this issue are located in </t>
  </si>
  <si>
    <t>Victoria, where all of the data was retrieved, link back to retrieval of data for credibility.</t>
  </si>
  <si>
    <t>Interpretation: Wherein most of lake measurements were taken, from northern</t>
  </si>
  <si>
    <t>surburb lakes, the survey results also were sourced mostly from the northerns surburbs</t>
  </si>
  <si>
    <t>link to other graph about fish stocking and distribution sites</t>
  </si>
  <si>
    <t>Interpretation: Count of survey results, vast</t>
  </si>
  <si>
    <t>majority were sourced from northern suburbs</t>
  </si>
  <si>
    <t>see below for further interpretation</t>
  </si>
  <si>
    <t>Function used: '=AVERAGE()'</t>
  </si>
  <si>
    <t>Interpretation: this is inline with Greenvale Reservoir's role as a safe water drinking site, link to other data about it's lack of biodiversity</t>
  </si>
  <si>
    <t>but low turbidity values that would otherwise support it's fish habitation, due to it being treated with chemicals regularly</t>
  </si>
  <si>
    <t>Function used: '=CORREL('</t>
  </si>
  <si>
    <t>SCROLL TO COLUMN K FOR SURVEY RESULTS</t>
  </si>
  <si>
    <t>SCROLL TO COLUMN AR FOR LAKE MEASUREMENTS</t>
  </si>
  <si>
    <t>Biodiversity Index Averages</t>
  </si>
  <si>
    <t>(Averaged)</t>
  </si>
  <si>
    <t xml:space="preserve">Interpretation: Survey results about the proximity to industrial activity/urban development that the survey participants found, </t>
  </si>
  <si>
    <t xml:space="preserve">vast majority of northern suburbs participants recorded proximity to industrial activity, link to graph below about fish stocking and distribution sites. </t>
  </si>
  <si>
    <t>Interpretation: little correlation found between heavy metal index and biodiversity, but it does affect other factors that affect biodiversity, probable inaccuracy</t>
  </si>
  <si>
    <t>Weak</t>
  </si>
  <si>
    <t>Moderate-Weak</t>
  </si>
  <si>
    <t>Moderate</t>
  </si>
  <si>
    <t>Metal/Biodiv</t>
  </si>
  <si>
    <t>Metal/Temp.</t>
  </si>
  <si>
    <t>Metal/Turbidity</t>
  </si>
  <si>
    <t>Metal/pHLevel</t>
  </si>
  <si>
    <t>Biodiv/Turbidity</t>
  </si>
  <si>
    <t>Biodiv/pHLevel</t>
  </si>
  <si>
    <t>Biodiv/Temp.</t>
  </si>
  <si>
    <t>TABLE EXTRACTIONS FOUND HERE</t>
  </si>
  <si>
    <t>tblLakeMeasurements (Secondary Only)</t>
  </si>
  <si>
    <t>(Secondary correlations)</t>
  </si>
  <si>
    <t>Very Weak</t>
  </si>
  <si>
    <t>Interpretation: Very little correlation again found between heavy metal index and</t>
  </si>
  <si>
    <t>everything else, moderate correlation between biodiversity index and other factors,</t>
  </si>
  <si>
    <t xml:space="preserve">suggests error in handling or collecting data or an outdated data since data was collected </t>
  </si>
  <si>
    <t>by the EPA/VBA pre covid even compared to my later measurements.</t>
  </si>
  <si>
    <t>Interpretation: the biodiversity index for every extreme in their own respective area and Greenvale reservoir for comparison, compared to other data</t>
  </si>
  <si>
    <t>Greenvale reservoir despite having lower turbidity and heavy metal concentration/</t>
  </si>
  <si>
    <t>C</t>
  </si>
  <si>
    <t>G</t>
  </si>
  <si>
    <t>L</t>
  </si>
  <si>
    <t>Lake McIvor</t>
  </si>
  <si>
    <t>Cherry Lake Alton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</si>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</sst>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rial Unicode MS"/>
      <family val="2"/>
    </font>
    <font>
      <b/>
      <sz val="12"/>
      <color rgb="FF000000"/>
      <name val="Arial Unicode MS"/>
      <family val="2"/>
    </font>
    <font>
      <sz val="12"/>
      <color rgb="FF4472C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quotePrefix="1"/>
    <xf numFmtId="0" fontId="5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North makes up the majority of survey 'Regions'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64-8347-8B99-193A8CF17209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64-8347-8B99-193A8CF17209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64-8347-8B99-193A8CF17209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64-8347-8B99-193A8CF17209}"/>
              </c:ext>
            </c:extLst>
          </c:dPt>
          <c:dLbls>
            <c:dLbl>
              <c:idx val="3"/>
              <c:layout>
                <c:manualLayout>
                  <c:x val="0"/>
                  <c:y val="-0.129499997450787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64-8347-8B99-193A8CF172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North</c:v>
              </c:pt>
              <c:pt idx="1">
                <c:v>East</c:v>
              </c:pt>
              <c:pt idx="2">
                <c:v>West</c:v>
              </c:pt>
              <c:pt idx="3">
                <c:v>City</c:v>
              </c:pt>
            </c:strLit>
          </c:cat>
          <c:val>
            <c:numLit>
              <c:formatCode>General</c:formatCode>
              <c:ptCount val="4"/>
              <c:pt idx="0">
                <c:v>23</c:v>
              </c:pt>
              <c:pt idx="1">
                <c:v>10</c:v>
              </c:pt>
              <c:pt idx="2">
                <c:v>7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A764-8347-8B99-193A8CF1720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'Heavy Metal Concentration</a:t>
            </a:r>
            <a:r>
              <a:rPr lang="en-US" baseline="0"/>
              <a:t> </a:t>
            </a:r>
            <a:r>
              <a:rPr lang="en-US"/>
              <a:t>µg/L' for Greenvale Res.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Dashboard!$BF$52</c:f>
              <c:strCache>
                <c:ptCount val="1"/>
                <c:pt idx="0">
                  <c:v>HeavyMetalConcentrationMicroµgL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Dashboard!$BE$53:$BE$55</c:f>
              <c:strCache>
                <c:ptCount val="3"/>
                <c:pt idx="0">
                  <c:v>Lead</c:v>
                </c:pt>
                <c:pt idx="1">
                  <c:v>Mercury</c:v>
                </c:pt>
                <c:pt idx="2">
                  <c:v>Cadmium</c:v>
                </c:pt>
              </c:strCache>
            </c:strRef>
          </c:cat>
          <c:val>
            <c:numRef>
              <c:f>Dashboard!$BF$53:$BF$55</c:f>
              <c:numCache>
                <c:formatCode>General</c:formatCode>
                <c:ptCount val="3"/>
                <c:pt idx="0">
                  <c:v>2.11</c:v>
                </c:pt>
                <c:pt idx="1">
                  <c:v>1.4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0-3342-BD48-3F27CD539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37483471"/>
        <c:axId val="2050725648"/>
      </c:barChart>
      <c:catAx>
        <c:axId val="23748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HeavyMetalType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25648"/>
        <c:crosses val="autoZero"/>
        <c:auto val="1"/>
        <c:lblAlgn val="ctr"/>
        <c:lblOffset val="100"/>
        <c:noMultiLvlLbl val="0"/>
      </c:catAx>
      <c:valAx>
        <c:axId val="205072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HeavyMetalConcentrationMicroµgL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48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'Biodiversity Index' for</a:t>
            </a:r>
            <a:r>
              <a:rPr lang="en-US" baseline="0"/>
              <a:t> 3 lake extremes in their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Dashboard!$BK$75</c:f>
              <c:strCache>
                <c:ptCount val="1"/>
                <c:pt idx="0">
                  <c:v>BiodiversityIndex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Dashboard!$BJ$76:$BJ$78</c:f>
              <c:strCache>
                <c:ptCount val="3"/>
                <c:pt idx="0">
                  <c:v>Greenvale Reservoir</c:v>
                </c:pt>
                <c:pt idx="1">
                  <c:v>Cherry Lake Altona</c:v>
                </c:pt>
                <c:pt idx="2">
                  <c:v>Lake Mcivor Reserve</c:v>
                </c:pt>
              </c:strCache>
            </c:strRef>
          </c:cat>
          <c:val>
            <c:numRef>
              <c:f>Dashboard!$BK$76:$BK$78</c:f>
              <c:numCache>
                <c:formatCode>General</c:formatCode>
                <c:ptCount val="3"/>
                <c:pt idx="0">
                  <c:v>0.46700000000000003</c:v>
                </c:pt>
                <c:pt idx="1">
                  <c:v>0.92700000000000005</c:v>
                </c:pt>
                <c:pt idx="2">
                  <c:v>5.5129999999999999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2-E649-A644-72C110420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53679087"/>
        <c:axId val="153823567"/>
      </c:barChart>
      <c:catAx>
        <c:axId val="153679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LakeName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3567"/>
        <c:crosses val="autoZero"/>
        <c:auto val="1"/>
        <c:lblAlgn val="ctr"/>
        <c:lblOffset val="100"/>
        <c:noMultiLvlLbl val="0"/>
      </c:catAx>
      <c:valAx>
        <c:axId val="15382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BiodiversityIndex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Metal</a:t>
            </a:r>
            <a:r>
              <a:rPr lang="en-US" baseline="0"/>
              <a:t> Concentration by Biodiversity Index Scatterplot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Field9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Dashboard!$AW$4:$AW$36</c:f>
              <c:numCache>
                <c:formatCode>General</c:formatCode>
                <c:ptCount val="33"/>
                <c:pt idx="0">
                  <c:v>0.31</c:v>
                </c:pt>
                <c:pt idx="1">
                  <c:v>0.31</c:v>
                </c:pt>
                <c:pt idx="2">
                  <c:v>0.78</c:v>
                </c:pt>
                <c:pt idx="3">
                  <c:v>0.72</c:v>
                </c:pt>
                <c:pt idx="4">
                  <c:v>0.72</c:v>
                </c:pt>
                <c:pt idx="5">
                  <c:v>0.45</c:v>
                </c:pt>
                <c:pt idx="6">
                  <c:v>1.32</c:v>
                </c:pt>
                <c:pt idx="7">
                  <c:v>1.32</c:v>
                </c:pt>
                <c:pt idx="8">
                  <c:v>0.92</c:v>
                </c:pt>
                <c:pt idx="9">
                  <c:v>1.52</c:v>
                </c:pt>
                <c:pt idx="10">
                  <c:v>1.52</c:v>
                </c:pt>
                <c:pt idx="11">
                  <c:v>1.58</c:v>
                </c:pt>
                <c:pt idx="12">
                  <c:v>1.74</c:v>
                </c:pt>
                <c:pt idx="13">
                  <c:v>1.74</c:v>
                </c:pt>
                <c:pt idx="14">
                  <c:v>1.1100000000000001</c:v>
                </c:pt>
                <c:pt idx="15">
                  <c:v>5.88</c:v>
                </c:pt>
                <c:pt idx="16">
                  <c:v>5.88</c:v>
                </c:pt>
                <c:pt idx="17">
                  <c:v>4.78</c:v>
                </c:pt>
                <c:pt idx="18">
                  <c:v>0.9</c:v>
                </c:pt>
                <c:pt idx="19">
                  <c:v>0.9</c:v>
                </c:pt>
                <c:pt idx="20">
                  <c:v>0.98</c:v>
                </c:pt>
                <c:pt idx="21">
                  <c:v>1.25</c:v>
                </c:pt>
                <c:pt idx="22">
                  <c:v>1.25</c:v>
                </c:pt>
                <c:pt idx="23">
                  <c:v>2.41</c:v>
                </c:pt>
                <c:pt idx="24">
                  <c:v>3.43</c:v>
                </c:pt>
                <c:pt idx="25">
                  <c:v>3.43</c:v>
                </c:pt>
                <c:pt idx="26">
                  <c:v>3.02</c:v>
                </c:pt>
                <c:pt idx="27">
                  <c:v>3.17</c:v>
                </c:pt>
                <c:pt idx="28">
                  <c:v>3.17</c:v>
                </c:pt>
                <c:pt idx="29">
                  <c:v>3.82</c:v>
                </c:pt>
                <c:pt idx="30">
                  <c:v>0.9</c:v>
                </c:pt>
                <c:pt idx="31">
                  <c:v>0.9</c:v>
                </c:pt>
                <c:pt idx="32">
                  <c:v>0.69</c:v>
                </c:pt>
              </c:numCache>
            </c:numRef>
          </c:xVal>
          <c:yVal>
            <c:numRef>
              <c:f>Dashboard!$AZ$4:$AZ$36</c:f>
              <c:numCache>
                <c:formatCode>General</c:formatCode>
                <c:ptCount val="33"/>
                <c:pt idx="0">
                  <c:v>2.11</c:v>
                </c:pt>
                <c:pt idx="1">
                  <c:v>1.4</c:v>
                </c:pt>
                <c:pt idx="2">
                  <c:v>0.2</c:v>
                </c:pt>
                <c:pt idx="3">
                  <c:v>4.92</c:v>
                </c:pt>
                <c:pt idx="4">
                  <c:v>2.91</c:v>
                </c:pt>
                <c:pt idx="5">
                  <c:v>1.54</c:v>
                </c:pt>
                <c:pt idx="6">
                  <c:v>5.13</c:v>
                </c:pt>
                <c:pt idx="7">
                  <c:v>2.4300000000000002</c:v>
                </c:pt>
                <c:pt idx="8">
                  <c:v>1.95</c:v>
                </c:pt>
                <c:pt idx="9">
                  <c:v>3.22</c:v>
                </c:pt>
                <c:pt idx="10">
                  <c:v>2.0099999999999998</c:v>
                </c:pt>
                <c:pt idx="11">
                  <c:v>1.91</c:v>
                </c:pt>
                <c:pt idx="12">
                  <c:v>3.83</c:v>
                </c:pt>
                <c:pt idx="13">
                  <c:v>1.88</c:v>
                </c:pt>
                <c:pt idx="14">
                  <c:v>0.98</c:v>
                </c:pt>
                <c:pt idx="15">
                  <c:v>2.39</c:v>
                </c:pt>
                <c:pt idx="16">
                  <c:v>1.04</c:v>
                </c:pt>
                <c:pt idx="17">
                  <c:v>0.74</c:v>
                </c:pt>
                <c:pt idx="18">
                  <c:v>9.7100000000000009</c:v>
                </c:pt>
                <c:pt idx="19">
                  <c:v>6.59</c:v>
                </c:pt>
                <c:pt idx="20">
                  <c:v>3.53</c:v>
                </c:pt>
                <c:pt idx="21">
                  <c:v>7.45</c:v>
                </c:pt>
                <c:pt idx="22">
                  <c:v>9.43</c:v>
                </c:pt>
                <c:pt idx="23">
                  <c:v>3.84</c:v>
                </c:pt>
                <c:pt idx="24">
                  <c:v>3.98</c:v>
                </c:pt>
                <c:pt idx="25">
                  <c:v>1.04</c:v>
                </c:pt>
                <c:pt idx="26">
                  <c:v>0.43</c:v>
                </c:pt>
                <c:pt idx="27">
                  <c:v>4.53</c:v>
                </c:pt>
                <c:pt idx="28">
                  <c:v>4.12</c:v>
                </c:pt>
                <c:pt idx="29">
                  <c:v>3.98</c:v>
                </c:pt>
                <c:pt idx="30">
                  <c:v>7.62</c:v>
                </c:pt>
                <c:pt idx="31">
                  <c:v>5.56</c:v>
                </c:pt>
                <c:pt idx="32">
                  <c:v>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F-E74A-BD5F-F5E48A2A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360271"/>
        <c:axId val="235211039"/>
      </c:scatterChart>
      <c:valAx>
        <c:axId val="23536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Heavy</a:t>
                </a:r>
                <a:r>
                  <a:rPr lang="en-GB" baseline="0"/>
                  <a:t> Metal Concentration µg/L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11039"/>
        <c:crosses val="autoZero"/>
        <c:crossBetween val="midCat"/>
      </c:valAx>
      <c:valAx>
        <c:axId val="23521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Biodiversity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6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Temperature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Biodiversity Index</a:t>
            </a:r>
            <a:r>
              <a:rPr lang="en-US"/>
              <a:t> 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Field8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Dashboard!$AW$4:$AW$36</c:f>
              <c:numCache>
                <c:formatCode>General</c:formatCode>
                <c:ptCount val="33"/>
                <c:pt idx="0">
                  <c:v>0.31</c:v>
                </c:pt>
                <c:pt idx="1">
                  <c:v>0.31</c:v>
                </c:pt>
                <c:pt idx="2">
                  <c:v>0.78</c:v>
                </c:pt>
                <c:pt idx="3">
                  <c:v>0.72</c:v>
                </c:pt>
                <c:pt idx="4">
                  <c:v>0.72</c:v>
                </c:pt>
                <c:pt idx="5">
                  <c:v>0.45</c:v>
                </c:pt>
                <c:pt idx="6">
                  <c:v>1.32</c:v>
                </c:pt>
                <c:pt idx="7">
                  <c:v>1.32</c:v>
                </c:pt>
                <c:pt idx="8">
                  <c:v>0.92</c:v>
                </c:pt>
                <c:pt idx="9">
                  <c:v>1.52</c:v>
                </c:pt>
                <c:pt idx="10">
                  <c:v>1.52</c:v>
                </c:pt>
                <c:pt idx="11">
                  <c:v>1.58</c:v>
                </c:pt>
                <c:pt idx="12">
                  <c:v>1.74</c:v>
                </c:pt>
                <c:pt idx="13">
                  <c:v>1.74</c:v>
                </c:pt>
                <c:pt idx="14">
                  <c:v>1.1100000000000001</c:v>
                </c:pt>
                <c:pt idx="15">
                  <c:v>5.88</c:v>
                </c:pt>
                <c:pt idx="16">
                  <c:v>5.88</c:v>
                </c:pt>
                <c:pt idx="17">
                  <c:v>4.78</c:v>
                </c:pt>
                <c:pt idx="18">
                  <c:v>0.9</c:v>
                </c:pt>
                <c:pt idx="19">
                  <c:v>0.9</c:v>
                </c:pt>
                <c:pt idx="20">
                  <c:v>0.98</c:v>
                </c:pt>
                <c:pt idx="21">
                  <c:v>1.25</c:v>
                </c:pt>
                <c:pt idx="22">
                  <c:v>1.25</c:v>
                </c:pt>
                <c:pt idx="23">
                  <c:v>2.41</c:v>
                </c:pt>
                <c:pt idx="24">
                  <c:v>3.43</c:v>
                </c:pt>
                <c:pt idx="25">
                  <c:v>3.43</c:v>
                </c:pt>
                <c:pt idx="26">
                  <c:v>3.02</c:v>
                </c:pt>
                <c:pt idx="27">
                  <c:v>3.17</c:v>
                </c:pt>
                <c:pt idx="28">
                  <c:v>3.17</c:v>
                </c:pt>
                <c:pt idx="29">
                  <c:v>3.82</c:v>
                </c:pt>
                <c:pt idx="30">
                  <c:v>0.9</c:v>
                </c:pt>
                <c:pt idx="31">
                  <c:v>0.9</c:v>
                </c:pt>
                <c:pt idx="32">
                  <c:v>0.69</c:v>
                </c:pt>
              </c:numCache>
            </c:numRef>
          </c:xVal>
          <c:yVal>
            <c:numRef>
              <c:f>Dashboard!$AY$4:$AY$36</c:f>
              <c:numCache>
                <c:formatCode>General</c:formatCode>
                <c:ptCount val="33"/>
                <c:pt idx="0">
                  <c:v>27</c:v>
                </c:pt>
                <c:pt idx="1">
                  <c:v>25.5</c:v>
                </c:pt>
                <c:pt idx="2">
                  <c:v>26.1</c:v>
                </c:pt>
                <c:pt idx="3">
                  <c:v>21</c:v>
                </c:pt>
                <c:pt idx="4">
                  <c:v>21.9</c:v>
                </c:pt>
                <c:pt idx="5">
                  <c:v>18.399999999999999</c:v>
                </c:pt>
                <c:pt idx="6">
                  <c:v>19.3</c:v>
                </c:pt>
                <c:pt idx="7">
                  <c:v>22.3</c:v>
                </c:pt>
                <c:pt idx="8">
                  <c:v>20.100000000000001</c:v>
                </c:pt>
                <c:pt idx="9">
                  <c:v>24.5</c:v>
                </c:pt>
                <c:pt idx="10">
                  <c:v>24.1</c:v>
                </c:pt>
                <c:pt idx="11">
                  <c:v>22</c:v>
                </c:pt>
                <c:pt idx="12">
                  <c:v>20.6</c:v>
                </c:pt>
                <c:pt idx="13">
                  <c:v>19.8</c:v>
                </c:pt>
                <c:pt idx="14">
                  <c:v>22.4</c:v>
                </c:pt>
                <c:pt idx="15">
                  <c:v>19.2</c:v>
                </c:pt>
                <c:pt idx="16">
                  <c:v>19.8</c:v>
                </c:pt>
                <c:pt idx="17">
                  <c:v>18.100000000000001</c:v>
                </c:pt>
                <c:pt idx="18">
                  <c:v>26.8</c:v>
                </c:pt>
                <c:pt idx="19">
                  <c:v>27.2</c:v>
                </c:pt>
                <c:pt idx="20">
                  <c:v>25.5</c:v>
                </c:pt>
                <c:pt idx="21">
                  <c:v>25.7</c:v>
                </c:pt>
                <c:pt idx="22">
                  <c:v>23.4</c:v>
                </c:pt>
                <c:pt idx="23">
                  <c:v>25.4</c:v>
                </c:pt>
                <c:pt idx="24">
                  <c:v>19.2</c:v>
                </c:pt>
                <c:pt idx="25">
                  <c:v>22.3</c:v>
                </c:pt>
                <c:pt idx="26">
                  <c:v>19.5</c:v>
                </c:pt>
                <c:pt idx="27">
                  <c:v>18.899999999999999</c:v>
                </c:pt>
                <c:pt idx="28">
                  <c:v>16.7</c:v>
                </c:pt>
                <c:pt idx="29">
                  <c:v>19.7</c:v>
                </c:pt>
                <c:pt idx="30">
                  <c:v>23.3</c:v>
                </c:pt>
                <c:pt idx="31">
                  <c:v>24.4</c:v>
                </c:pt>
                <c:pt idx="32">
                  <c:v>21.7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F4-064F-BBA9-0260EF6D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78559"/>
        <c:axId val="659303728"/>
      </c:scatterChart>
      <c:valAx>
        <c:axId val="15567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Biodiversity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03728"/>
        <c:crosses val="autoZero"/>
        <c:crossBetween val="midCat"/>
      </c:valAx>
      <c:valAx>
        <c:axId val="65930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7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12</xdr:row>
      <xdr:rowOff>0</xdr:rowOff>
    </xdr:from>
    <xdr:to>
      <xdr:col>16</xdr:col>
      <xdr:colOff>228600</xdr:colOff>
      <xdr:row>24</xdr:row>
      <xdr:rowOff>0</xdr:rowOff>
    </xdr:to>
    <xdr:graphicFrame macro="">
      <xdr:nvGraphicFramePr>
        <xdr:cNvPr id="2" name="Chart 1" descr="Chart type: Doughnut. North accounts for the majority of 'Region'.&#10;&#10;Description automatically generated">
          <a:extLst>
            <a:ext uri="{FF2B5EF4-FFF2-40B4-BE49-F238E27FC236}">
              <a16:creationId xmlns:a16="http://schemas.microsoft.com/office/drawing/2014/main" id="{DFEDAEE6-315F-9742-A8CB-8E0E6889D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825499</xdr:colOff>
      <xdr:row>46</xdr:row>
      <xdr:rowOff>0</xdr:rowOff>
    </xdr:from>
    <xdr:to>
      <xdr:col>18</xdr:col>
      <xdr:colOff>15874</xdr:colOff>
      <xdr:row>54</xdr:row>
      <xdr:rowOff>97117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A1B8F-5206-B51E-EDAF-6F14BF971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4999" y="10191750"/>
          <a:ext cx="6842125" cy="1873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57</xdr:row>
      <xdr:rowOff>0</xdr:rowOff>
    </xdr:from>
    <xdr:to>
      <xdr:col>18</xdr:col>
      <xdr:colOff>15875</xdr:colOff>
      <xdr:row>88</xdr:row>
      <xdr:rowOff>98050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CDE2EA-6CB7-E407-3A37-AE8F5A0DB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0" y="12461875"/>
          <a:ext cx="6842125" cy="6603999"/>
        </a:xfrm>
        <a:prstGeom prst="rect">
          <a:avLst/>
        </a:prstGeom>
      </xdr:spPr>
    </xdr:pic>
    <xdr:clientData/>
  </xdr:twoCellAnchor>
  <xdr:twoCellAnchor editAs="oneCell">
    <xdr:from>
      <xdr:col>18</xdr:col>
      <xdr:colOff>825499</xdr:colOff>
      <xdr:row>74</xdr:row>
      <xdr:rowOff>206374</xdr:rowOff>
    </xdr:from>
    <xdr:to>
      <xdr:col>28</xdr:col>
      <xdr:colOff>15875</xdr:colOff>
      <xdr:row>99</xdr:row>
      <xdr:rowOff>73257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8F4F3F-8D21-9181-1FBA-91FA441B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06749" y="16303624"/>
          <a:ext cx="7445376" cy="508975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</xdr:row>
      <xdr:rowOff>1</xdr:rowOff>
    </xdr:from>
    <xdr:to>
      <xdr:col>24</xdr:col>
      <xdr:colOff>31750</xdr:colOff>
      <xdr:row>65</xdr:row>
      <xdr:rowOff>155949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6B1447-D5C0-DF89-6AF1-59264AEA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52588" y="11385177"/>
          <a:ext cx="4140574" cy="3144183"/>
        </a:xfrm>
        <a:prstGeom prst="rect">
          <a:avLst/>
        </a:prstGeom>
      </xdr:spPr>
    </xdr:pic>
    <xdr:clientData/>
  </xdr:twoCellAnchor>
  <xdr:twoCellAnchor>
    <xdr:from>
      <xdr:col>55</xdr:col>
      <xdr:colOff>11203</xdr:colOff>
      <xdr:row>56</xdr:row>
      <xdr:rowOff>14941</xdr:rowOff>
    </xdr:from>
    <xdr:to>
      <xdr:col>61</xdr:col>
      <xdr:colOff>14940</xdr:colOff>
      <xdr:row>69</xdr:row>
      <xdr:rowOff>207683</xdr:rowOff>
    </xdr:to>
    <xdr:graphicFrame macro="">
      <xdr:nvGraphicFramePr>
        <xdr:cNvPr id="13" name="Chart 12" descr="Chart type: Clustered Column. 'HeavyMetalConcentrationMicroµgL'&#10;&#10;Description automatically generated">
          <a:extLst>
            <a:ext uri="{FF2B5EF4-FFF2-40B4-BE49-F238E27FC236}">
              <a16:creationId xmlns:a16="http://schemas.microsoft.com/office/drawing/2014/main" id="{A950F7E4-E5C9-8988-8279-7910C36B4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55</xdr:col>
      <xdr:colOff>11205</xdr:colOff>
      <xdr:row>72</xdr:row>
      <xdr:rowOff>8965</xdr:rowOff>
    </xdr:from>
    <xdr:to>
      <xdr:col>61</xdr:col>
      <xdr:colOff>14941</xdr:colOff>
      <xdr:row>85</xdr:row>
      <xdr:rowOff>0</xdr:rowOff>
    </xdr:to>
    <xdr:graphicFrame macro="">
      <xdr:nvGraphicFramePr>
        <xdr:cNvPr id="14" name="Chart 13" descr="Chart type: Clustered Bar. 'BiodiversityIndex'&#10;&#10;Description automatically generated">
          <a:extLst>
            <a:ext uri="{FF2B5EF4-FFF2-40B4-BE49-F238E27FC236}">
              <a16:creationId xmlns:a16="http://schemas.microsoft.com/office/drawing/2014/main" id="{655D80B4-5A48-CD13-0A64-46AEF87F4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12700</xdr:colOff>
      <xdr:row>36</xdr:row>
      <xdr:rowOff>227852</xdr:rowOff>
    </xdr:from>
    <xdr:to>
      <xdr:col>45</xdr:col>
      <xdr:colOff>16434</xdr:colOff>
      <xdr:row>50</xdr:row>
      <xdr:rowOff>0</xdr:rowOff>
    </xdr:to>
    <xdr:graphicFrame macro="">
      <xdr:nvGraphicFramePr>
        <xdr:cNvPr id="4" name="Chart 3" descr="Chart type: Scatter. 'Field9' by 'Field6'&#10;&#10;Description automatically generated">
          <a:extLst>
            <a:ext uri="{FF2B5EF4-FFF2-40B4-BE49-F238E27FC236}">
              <a16:creationId xmlns:a16="http://schemas.microsoft.com/office/drawing/2014/main" id="{AD2DC0A7-FD3C-2958-C4D5-9D154AD58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9071</xdr:colOff>
      <xdr:row>51</xdr:row>
      <xdr:rowOff>5779</xdr:rowOff>
    </xdr:from>
    <xdr:to>
      <xdr:col>45</xdr:col>
      <xdr:colOff>7576</xdr:colOff>
      <xdr:row>65</xdr:row>
      <xdr:rowOff>9071</xdr:rowOff>
    </xdr:to>
    <xdr:graphicFrame macro="">
      <xdr:nvGraphicFramePr>
        <xdr:cNvPr id="7" name="Chart 6" descr="Chart type: Scatter. Field: Field6 and Field: Field8 appear highly correlated.&#10;&#10;Description automatically generated">
          <a:extLst>
            <a:ext uri="{FF2B5EF4-FFF2-40B4-BE49-F238E27FC236}">
              <a16:creationId xmlns:a16="http://schemas.microsoft.com/office/drawing/2014/main" id="{124A37B2-E922-A96C-77ED-D71C0778A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0.11701</cdr:x>
      <cdr:y>0.48389</cdr:y>
    </cdr:from>
    <cdr:to>
      <cdr:x>0.65506</cdr:x>
      <cdr:y>0.80616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CC2F4EF-25B5-05D1-449F-1F3859D4DB96}"/>
            </a:ext>
          </a:extLst>
        </cdr:cNvPr>
        <cdr:cNvCxnSpPr/>
      </cdr:nvCxnSpPr>
      <cdr:spPr>
        <a:xfrm xmlns:a="http://schemas.openxmlformats.org/drawingml/2006/main">
          <a:off x="579966" y="1409037"/>
          <a:ext cx="2667000" cy="93838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allah Elsayed" refreshedDate="45876.389472569441" createdVersion="8" refreshedVersion="8" minRefreshableVersion="3" recordCount="41" xr:uid="{F6D97B6A-E94F-AA48-8E40-B024EAF2FA76}">
  <cacheSource type="worksheet">
    <worksheetSource ref="K2:K43" sheet="Dashboard"/>
  </cacheSource>
  <cacheFields count="1">
    <cacheField name="Region" numFmtId="0">
      <sharedItems count="4">
        <s v="North"/>
        <s v="East"/>
        <s v="City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allah Elsayed" refreshedDate="45876.39314699074" createdVersion="8" refreshedVersion="8" minRefreshableVersion="3" recordCount="41" xr:uid="{7C0907A3-982A-6847-938D-048F07680B67}">
  <cacheSource type="worksheet">
    <worksheetSource ref="O2:R43" sheet="Survey"/>
  </cacheSource>
  <cacheFields count="4">
    <cacheField name="RespondantID" numFmtId="0">
      <sharedItems containsSemiMixedTypes="0" containsString="0" containsNumber="1" containsInteger="1" minValue="1" maxValue="41"/>
    </cacheField>
    <cacheField name="Region" numFmtId="0">
      <sharedItems count="4">
        <s v="North"/>
        <s v="East"/>
        <s v="City"/>
        <s v="West"/>
      </sharedItems>
    </cacheField>
    <cacheField name="FishingProximity" numFmtId="0">
      <sharedItems count="2">
        <b v="0"/>
        <b v="1"/>
      </sharedItems>
    </cacheField>
    <cacheField name="FishQual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</r>
  <r>
    <x v="0"/>
  </r>
  <r>
    <x v="0"/>
  </r>
  <r>
    <x v="1"/>
  </r>
  <r>
    <x v="0"/>
  </r>
  <r>
    <x v="2"/>
  </r>
  <r>
    <x v="0"/>
  </r>
  <r>
    <x v="1"/>
  </r>
  <r>
    <x v="3"/>
  </r>
  <r>
    <x v="0"/>
  </r>
  <r>
    <x v="0"/>
  </r>
  <r>
    <x v="1"/>
  </r>
  <r>
    <x v="0"/>
  </r>
  <r>
    <x v="0"/>
  </r>
  <r>
    <x v="3"/>
  </r>
  <r>
    <x v="3"/>
  </r>
  <r>
    <x v="1"/>
  </r>
  <r>
    <x v="0"/>
  </r>
  <r>
    <x v="0"/>
  </r>
  <r>
    <x v="1"/>
  </r>
  <r>
    <x v="0"/>
  </r>
  <r>
    <x v="3"/>
  </r>
  <r>
    <x v="0"/>
  </r>
  <r>
    <x v="0"/>
  </r>
  <r>
    <x v="0"/>
  </r>
  <r>
    <x v="1"/>
  </r>
  <r>
    <x v="1"/>
  </r>
  <r>
    <x v="1"/>
  </r>
  <r>
    <x v="0"/>
  </r>
  <r>
    <x v="3"/>
  </r>
  <r>
    <x v="0"/>
  </r>
  <r>
    <x v="0"/>
  </r>
  <r>
    <x v="0"/>
  </r>
  <r>
    <x v="0"/>
  </r>
  <r>
    <x v="0"/>
  </r>
  <r>
    <x v="1"/>
  </r>
  <r>
    <x v="3"/>
  </r>
  <r>
    <x v="3"/>
  </r>
  <r>
    <x v="0"/>
  </r>
  <r>
    <x v="0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b v="0"/>
  </r>
  <r>
    <n v="2"/>
    <x v="0"/>
    <x v="0"/>
    <b v="0"/>
  </r>
  <r>
    <n v="3"/>
    <x v="0"/>
    <x v="0"/>
    <b v="1"/>
  </r>
  <r>
    <n v="4"/>
    <x v="1"/>
    <x v="1"/>
    <b v="1"/>
  </r>
  <r>
    <n v="5"/>
    <x v="0"/>
    <x v="0"/>
    <b v="1"/>
  </r>
  <r>
    <n v="6"/>
    <x v="2"/>
    <x v="1"/>
    <b v="1"/>
  </r>
  <r>
    <n v="7"/>
    <x v="0"/>
    <x v="0"/>
    <b v="1"/>
  </r>
  <r>
    <n v="8"/>
    <x v="1"/>
    <x v="0"/>
    <b v="0"/>
  </r>
  <r>
    <n v="9"/>
    <x v="3"/>
    <x v="1"/>
    <b v="1"/>
  </r>
  <r>
    <n v="10"/>
    <x v="0"/>
    <x v="0"/>
    <b v="1"/>
  </r>
  <r>
    <n v="11"/>
    <x v="0"/>
    <x v="0"/>
    <b v="1"/>
  </r>
  <r>
    <n v="12"/>
    <x v="1"/>
    <x v="1"/>
    <b v="0"/>
  </r>
  <r>
    <n v="13"/>
    <x v="0"/>
    <x v="0"/>
    <b v="1"/>
  </r>
  <r>
    <n v="14"/>
    <x v="0"/>
    <x v="1"/>
    <b v="0"/>
  </r>
  <r>
    <n v="15"/>
    <x v="3"/>
    <x v="0"/>
    <b v="0"/>
  </r>
  <r>
    <n v="16"/>
    <x v="3"/>
    <x v="0"/>
    <b v="1"/>
  </r>
  <r>
    <n v="17"/>
    <x v="1"/>
    <x v="0"/>
    <b v="1"/>
  </r>
  <r>
    <n v="18"/>
    <x v="0"/>
    <x v="0"/>
    <b v="1"/>
  </r>
  <r>
    <n v="19"/>
    <x v="0"/>
    <x v="0"/>
    <b v="1"/>
  </r>
  <r>
    <n v="20"/>
    <x v="1"/>
    <x v="0"/>
    <b v="0"/>
  </r>
  <r>
    <n v="21"/>
    <x v="0"/>
    <x v="1"/>
    <b v="1"/>
  </r>
  <r>
    <n v="22"/>
    <x v="3"/>
    <x v="1"/>
    <b v="1"/>
  </r>
  <r>
    <n v="23"/>
    <x v="0"/>
    <x v="0"/>
    <b v="1"/>
  </r>
  <r>
    <n v="24"/>
    <x v="0"/>
    <x v="0"/>
    <b v="0"/>
  </r>
  <r>
    <n v="25"/>
    <x v="0"/>
    <x v="0"/>
    <b v="1"/>
  </r>
  <r>
    <n v="26"/>
    <x v="1"/>
    <x v="0"/>
    <b v="0"/>
  </r>
  <r>
    <n v="27"/>
    <x v="1"/>
    <x v="1"/>
    <b v="0"/>
  </r>
  <r>
    <n v="28"/>
    <x v="1"/>
    <x v="0"/>
    <b v="1"/>
  </r>
  <r>
    <n v="29"/>
    <x v="0"/>
    <x v="1"/>
    <b v="1"/>
  </r>
  <r>
    <n v="30"/>
    <x v="3"/>
    <x v="1"/>
    <b v="1"/>
  </r>
  <r>
    <n v="31"/>
    <x v="0"/>
    <x v="0"/>
    <b v="1"/>
  </r>
  <r>
    <n v="32"/>
    <x v="0"/>
    <x v="1"/>
    <b v="1"/>
  </r>
  <r>
    <n v="33"/>
    <x v="0"/>
    <x v="0"/>
    <b v="0"/>
  </r>
  <r>
    <n v="34"/>
    <x v="0"/>
    <x v="1"/>
    <b v="1"/>
  </r>
  <r>
    <n v="35"/>
    <x v="0"/>
    <x v="1"/>
    <b v="1"/>
  </r>
  <r>
    <n v="36"/>
    <x v="1"/>
    <x v="0"/>
    <b v="0"/>
  </r>
  <r>
    <n v="37"/>
    <x v="3"/>
    <x v="1"/>
    <b v="1"/>
  </r>
  <r>
    <n v="38"/>
    <x v="3"/>
    <x v="0"/>
    <b v="0"/>
  </r>
  <r>
    <n v="39"/>
    <x v="0"/>
    <x v="1"/>
    <b v="1"/>
  </r>
  <r>
    <n v="40"/>
    <x v="0"/>
    <x v="0"/>
    <b v="1"/>
  </r>
  <r>
    <n v="41"/>
    <x v="1"/>
    <x v="1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D4C78-9997-E542-A0D3-AA10BD76858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6:M11" firstHeaderRow="1" firstDataRow="1" firstDataCol="1"/>
  <pivotFields count="1">
    <pivotField axis="axisRow" dataField="1" compact="0" outline="0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Count of Reg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BCA55-4DAC-DE42-9D4A-AA39823CE23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V6:AA10" firstHeaderRow="1" firstDataRow="2" firstDataCol="1"/>
  <pivotFields count="4">
    <pivotField compact="0" outline="0" showAll="0"/>
    <pivotField axis="axisCol" compact="0" outline="0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FishingProx*" axis="axisRow" dataField="1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5">
    <i>
      <x v="2"/>
    </i>
    <i>
      <x v="1"/>
    </i>
    <i>
      <x v="3"/>
    </i>
    <i>
      <x/>
    </i>
    <i t="grand">
      <x/>
    </i>
  </colItems>
  <dataFields count="1">
    <dataField name="Count of FP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2591-F2BC-D04F-8641-F181D155F693}">
  <dimension ref="A1:V80"/>
  <sheetViews>
    <sheetView workbookViewId="0">
      <selection activeCell="F2" activeCellId="1" sqref="F4:F5 F2"/>
    </sheetView>
  </sheetViews>
  <sheetFormatPr baseColWidth="10" defaultRowHeight="16" x14ac:dyDescent="0.2"/>
  <sheetData>
    <row r="1" spans="1:22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22" ht="1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N2" s="10"/>
      <c r="O2" s="11"/>
      <c r="P2" s="11"/>
      <c r="Q2" s="11"/>
      <c r="R2" s="11"/>
      <c r="S2" s="11"/>
      <c r="T2" s="11"/>
      <c r="U2" s="11"/>
      <c r="V2" s="11"/>
    </row>
    <row r="3" spans="1:22" ht="18" x14ac:dyDescent="0.25">
      <c r="A3" s="2">
        <v>0</v>
      </c>
      <c r="B3" s="2">
        <v>0</v>
      </c>
      <c r="C3" s="2">
        <v>0</v>
      </c>
      <c r="D3" s="2" t="s">
        <v>10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N3" s="1"/>
      <c r="O3" s="1"/>
      <c r="P3" s="1"/>
      <c r="Q3" s="1"/>
      <c r="R3" s="1"/>
      <c r="S3" s="1"/>
      <c r="T3" s="1"/>
      <c r="U3" s="1"/>
      <c r="V3" s="1"/>
    </row>
    <row r="4" spans="1:22" ht="18" x14ac:dyDescent="0.25">
      <c r="A4" s="2">
        <v>1</v>
      </c>
      <c r="B4" s="2">
        <v>1</v>
      </c>
      <c r="C4" s="2">
        <v>1</v>
      </c>
      <c r="D4" s="2" t="s">
        <v>11</v>
      </c>
      <c r="E4" s="2">
        <v>7.11</v>
      </c>
      <c r="F4" s="2">
        <v>0.31</v>
      </c>
      <c r="G4" s="2">
        <v>10</v>
      </c>
      <c r="H4" s="2">
        <v>27</v>
      </c>
      <c r="I4" s="2">
        <v>2.11</v>
      </c>
      <c r="N4" s="2">
        <v>1</v>
      </c>
      <c r="O4" s="2">
        <v>1</v>
      </c>
      <c r="P4" s="2">
        <v>1</v>
      </c>
      <c r="Q4" s="2" t="s">
        <v>11</v>
      </c>
      <c r="R4" s="2">
        <v>7.11</v>
      </c>
      <c r="S4" s="2">
        <v>0.31</v>
      </c>
      <c r="T4" s="2">
        <v>10</v>
      </c>
      <c r="U4" s="2">
        <v>27</v>
      </c>
      <c r="V4" s="2">
        <v>2.11</v>
      </c>
    </row>
    <row r="5" spans="1:22" ht="18" x14ac:dyDescent="0.25">
      <c r="A5" s="2">
        <v>2</v>
      </c>
      <c r="B5" s="2">
        <v>1</v>
      </c>
      <c r="C5" s="2">
        <v>2</v>
      </c>
      <c r="D5" s="2" t="s">
        <v>12</v>
      </c>
      <c r="E5" s="2">
        <v>7.17</v>
      </c>
      <c r="F5" s="2">
        <v>0.31</v>
      </c>
      <c r="G5" s="2">
        <v>25</v>
      </c>
      <c r="H5" s="2">
        <v>25.5</v>
      </c>
      <c r="I5" s="2">
        <v>1.4</v>
      </c>
      <c r="N5" s="2">
        <v>2</v>
      </c>
      <c r="O5" s="2">
        <v>1</v>
      </c>
      <c r="P5" s="2">
        <v>2</v>
      </c>
      <c r="Q5" s="2" t="s">
        <v>12</v>
      </c>
      <c r="R5" s="2">
        <v>7.17</v>
      </c>
      <c r="S5" s="2">
        <v>0.31</v>
      </c>
      <c r="T5" s="2">
        <v>25</v>
      </c>
      <c r="U5" s="2">
        <v>25.5</v>
      </c>
      <c r="V5" s="2">
        <v>1.4</v>
      </c>
    </row>
    <row r="6" spans="1:22" ht="18" x14ac:dyDescent="0.25">
      <c r="A6" s="2">
        <v>4</v>
      </c>
      <c r="B6" s="2">
        <v>2</v>
      </c>
      <c r="C6" s="2">
        <v>4</v>
      </c>
      <c r="D6" s="2" t="s">
        <v>11</v>
      </c>
      <c r="E6" s="2">
        <v>7.84</v>
      </c>
      <c r="F6" s="2">
        <v>0.72</v>
      </c>
      <c r="G6" s="2">
        <v>200</v>
      </c>
      <c r="H6" s="2">
        <v>21</v>
      </c>
      <c r="I6" s="2">
        <v>4.92</v>
      </c>
      <c r="K6" s="2"/>
      <c r="L6" s="2"/>
      <c r="N6" s="2">
        <v>3</v>
      </c>
      <c r="O6" s="2">
        <v>1</v>
      </c>
      <c r="P6" s="2">
        <v>3</v>
      </c>
      <c r="Q6" s="2" t="s">
        <v>13</v>
      </c>
      <c r="R6" s="2">
        <v>7.31</v>
      </c>
      <c r="S6" s="2">
        <v>0.78</v>
      </c>
      <c r="T6" s="2">
        <v>50</v>
      </c>
      <c r="U6" s="2">
        <v>26.1</v>
      </c>
      <c r="V6" s="2">
        <v>0.2</v>
      </c>
    </row>
    <row r="7" spans="1:22" ht="18" x14ac:dyDescent="0.25">
      <c r="A7" s="2">
        <v>5</v>
      </c>
      <c r="B7" s="2">
        <v>2</v>
      </c>
      <c r="C7" s="2">
        <v>5</v>
      </c>
      <c r="D7" s="2" t="s">
        <v>12</v>
      </c>
      <c r="E7" s="2">
        <v>7.89</v>
      </c>
      <c r="F7" s="2">
        <v>0.72</v>
      </c>
      <c r="G7" s="2">
        <v>150</v>
      </c>
      <c r="H7" s="2">
        <v>21.9</v>
      </c>
      <c r="I7" s="2">
        <v>2.91</v>
      </c>
      <c r="K7" s="2"/>
      <c r="L7" s="2"/>
      <c r="N7" s="2"/>
      <c r="O7" s="2"/>
      <c r="P7" s="2"/>
      <c r="Q7" s="2"/>
      <c r="R7" s="2"/>
      <c r="S7" s="2"/>
      <c r="T7" s="2"/>
      <c r="U7" s="2"/>
      <c r="V7" s="2"/>
    </row>
    <row r="8" spans="1:22" ht="18" x14ac:dyDescent="0.25">
      <c r="A8" s="2">
        <v>7</v>
      </c>
      <c r="B8" s="2">
        <v>3</v>
      </c>
      <c r="C8" s="2">
        <v>7</v>
      </c>
      <c r="D8" s="2" t="s">
        <v>11</v>
      </c>
      <c r="E8" s="2">
        <v>6.98</v>
      </c>
      <c r="F8" s="2">
        <v>1.32</v>
      </c>
      <c r="G8" s="2">
        <v>350</v>
      </c>
      <c r="H8" s="2">
        <v>19.3</v>
      </c>
      <c r="I8" s="2">
        <v>5.13</v>
      </c>
      <c r="K8" s="2"/>
      <c r="L8" s="2"/>
      <c r="N8" s="2"/>
      <c r="O8" s="2"/>
      <c r="P8" s="2"/>
      <c r="Q8" s="2"/>
      <c r="R8" s="2"/>
      <c r="S8" s="2"/>
      <c r="T8" s="2"/>
      <c r="U8" s="2"/>
      <c r="V8" s="2"/>
    </row>
    <row r="9" spans="1:22" ht="18" x14ac:dyDescent="0.25">
      <c r="A9" s="2">
        <v>8</v>
      </c>
      <c r="B9" s="2">
        <v>3</v>
      </c>
      <c r="C9" s="2">
        <v>8</v>
      </c>
      <c r="D9" s="2" t="s">
        <v>12</v>
      </c>
      <c r="E9" s="2">
        <v>7.02</v>
      </c>
      <c r="F9" s="2">
        <v>1.32</v>
      </c>
      <c r="G9" s="2">
        <v>250</v>
      </c>
      <c r="H9" s="2">
        <v>22.3</v>
      </c>
      <c r="I9" s="2">
        <v>2.4300000000000002</v>
      </c>
      <c r="K9" s="2"/>
      <c r="L9" s="2"/>
      <c r="N9" s="2"/>
      <c r="O9" s="2"/>
      <c r="P9" s="2"/>
      <c r="Q9" s="2"/>
      <c r="R9" s="2"/>
      <c r="S9" s="2"/>
      <c r="T9" s="2"/>
      <c r="U9" s="2"/>
      <c r="V9" s="2"/>
    </row>
    <row r="10" spans="1:22" ht="18" x14ac:dyDescent="0.25">
      <c r="A10" s="2">
        <v>10</v>
      </c>
      <c r="B10" s="2">
        <v>4</v>
      </c>
      <c r="C10" s="2">
        <v>10</v>
      </c>
      <c r="D10" s="2" t="s">
        <v>11</v>
      </c>
      <c r="E10" s="2">
        <v>7.14</v>
      </c>
      <c r="F10" s="2">
        <v>1.52</v>
      </c>
      <c r="G10" s="2">
        <v>250</v>
      </c>
      <c r="H10" s="2">
        <v>24.5</v>
      </c>
      <c r="I10" s="2">
        <v>3.22</v>
      </c>
      <c r="K10" s="2"/>
      <c r="L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" x14ac:dyDescent="0.25">
      <c r="A11" s="2">
        <v>11</v>
      </c>
      <c r="B11" s="2">
        <v>4</v>
      </c>
      <c r="C11" s="2">
        <v>11</v>
      </c>
      <c r="D11" s="2" t="s">
        <v>12</v>
      </c>
      <c r="E11" s="2">
        <v>7.03</v>
      </c>
      <c r="F11" s="2">
        <v>1.52</v>
      </c>
      <c r="G11" s="2">
        <v>250</v>
      </c>
      <c r="H11" s="2">
        <v>24.1</v>
      </c>
      <c r="I11" s="2">
        <v>2.0099999999999998</v>
      </c>
      <c r="K11" s="2"/>
      <c r="L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" x14ac:dyDescent="0.25">
      <c r="A12" s="2">
        <v>13</v>
      </c>
      <c r="B12" s="2">
        <v>5</v>
      </c>
      <c r="C12" s="2">
        <v>13</v>
      </c>
      <c r="D12" s="2" t="s">
        <v>11</v>
      </c>
      <c r="E12" s="2">
        <v>7.22</v>
      </c>
      <c r="F12" s="2">
        <v>1.74</v>
      </c>
      <c r="G12" s="2">
        <v>150</v>
      </c>
      <c r="H12" s="2">
        <v>20.6</v>
      </c>
      <c r="I12" s="2">
        <v>3.83</v>
      </c>
      <c r="K12" s="2"/>
      <c r="L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" x14ac:dyDescent="0.25">
      <c r="A13" s="2">
        <v>14</v>
      </c>
      <c r="B13" s="2">
        <v>5</v>
      </c>
      <c r="C13" s="2">
        <v>14</v>
      </c>
      <c r="D13" s="2" t="s">
        <v>12</v>
      </c>
      <c r="E13" s="2">
        <v>7.12</v>
      </c>
      <c r="F13" s="2">
        <v>1.74</v>
      </c>
      <c r="G13" s="2">
        <v>120</v>
      </c>
      <c r="H13" s="2">
        <v>19.8</v>
      </c>
      <c r="I13" s="2">
        <v>1.88</v>
      </c>
      <c r="K13" s="2"/>
      <c r="L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" x14ac:dyDescent="0.25">
      <c r="A14" s="2">
        <v>16</v>
      </c>
      <c r="B14" s="2">
        <v>6</v>
      </c>
      <c r="C14" s="2">
        <v>16</v>
      </c>
      <c r="D14" s="2" t="s">
        <v>11</v>
      </c>
      <c r="E14" s="2">
        <v>7.01</v>
      </c>
      <c r="F14" s="2">
        <v>5.88</v>
      </c>
      <c r="G14" s="2">
        <v>25</v>
      </c>
      <c r="H14" s="2">
        <v>19.2</v>
      </c>
      <c r="I14" s="2">
        <v>2.39</v>
      </c>
      <c r="K14" s="2"/>
      <c r="L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" x14ac:dyDescent="0.25">
      <c r="A15" s="2">
        <v>17</v>
      </c>
      <c r="B15" s="2">
        <v>6</v>
      </c>
      <c r="C15" s="2">
        <v>17</v>
      </c>
      <c r="D15" s="2" t="s">
        <v>12</v>
      </c>
      <c r="E15" s="2">
        <v>7.04</v>
      </c>
      <c r="F15" s="2">
        <v>5.88</v>
      </c>
      <c r="G15" s="2">
        <v>100</v>
      </c>
      <c r="H15" s="2">
        <v>19.8</v>
      </c>
      <c r="I15" s="2">
        <v>1.04</v>
      </c>
      <c r="K15" s="2"/>
      <c r="L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8" x14ac:dyDescent="0.25">
      <c r="A16" s="2">
        <v>19</v>
      </c>
      <c r="B16" s="2">
        <v>7</v>
      </c>
      <c r="C16" s="2">
        <v>19</v>
      </c>
      <c r="D16" s="2" t="s">
        <v>11</v>
      </c>
      <c r="E16" s="2">
        <v>8.43</v>
      </c>
      <c r="F16" s="2">
        <v>0.9</v>
      </c>
      <c r="G16" s="2">
        <v>300</v>
      </c>
      <c r="H16" s="2">
        <v>26.8</v>
      </c>
      <c r="I16" s="2">
        <v>9.7100000000000009</v>
      </c>
      <c r="K16" s="2"/>
      <c r="L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" x14ac:dyDescent="0.25">
      <c r="A17" s="2">
        <v>20</v>
      </c>
      <c r="B17" s="2">
        <v>7</v>
      </c>
      <c r="C17" s="2">
        <v>20</v>
      </c>
      <c r="D17" s="2" t="s">
        <v>12</v>
      </c>
      <c r="E17" s="2">
        <v>8.32</v>
      </c>
      <c r="F17" s="2">
        <v>0.9</v>
      </c>
      <c r="G17" s="2">
        <v>350</v>
      </c>
      <c r="H17" s="2">
        <v>27.2</v>
      </c>
      <c r="I17" s="2">
        <v>6.59</v>
      </c>
      <c r="N17" s="2"/>
      <c r="O17" s="2"/>
      <c r="P17" s="2"/>
      <c r="Q17" s="2"/>
      <c r="R17" s="2"/>
      <c r="S17" s="2"/>
      <c r="T17" s="2"/>
      <c r="U17" s="2"/>
      <c r="V17" s="2"/>
    </row>
    <row r="18" spans="1:22" ht="18" x14ac:dyDescent="0.25">
      <c r="A18" s="2">
        <v>22</v>
      </c>
      <c r="B18" s="2">
        <v>8</v>
      </c>
      <c r="C18" s="2">
        <v>22</v>
      </c>
      <c r="D18" s="2" t="s">
        <v>11</v>
      </c>
      <c r="E18" s="2">
        <v>6.67</v>
      </c>
      <c r="F18" s="2">
        <v>1.25</v>
      </c>
      <c r="G18" s="2">
        <v>150</v>
      </c>
      <c r="H18" s="2">
        <v>25.7</v>
      </c>
      <c r="I18" s="2">
        <v>7.45</v>
      </c>
      <c r="N18" s="2"/>
      <c r="O18" s="2"/>
      <c r="P18" s="2"/>
      <c r="Q18" s="2"/>
      <c r="R18" s="2"/>
      <c r="S18" s="2"/>
      <c r="T18" s="2"/>
      <c r="U18" s="2"/>
      <c r="V18" s="2"/>
    </row>
    <row r="19" spans="1:22" ht="18" x14ac:dyDescent="0.25">
      <c r="A19" s="2">
        <v>23</v>
      </c>
      <c r="B19" s="2">
        <v>8</v>
      </c>
      <c r="C19" s="2">
        <v>23</v>
      </c>
      <c r="D19" s="2" t="s">
        <v>12</v>
      </c>
      <c r="E19" s="2">
        <v>6.82</v>
      </c>
      <c r="F19" s="2">
        <v>1.25</v>
      </c>
      <c r="G19" s="2">
        <v>100</v>
      </c>
      <c r="H19" s="2">
        <v>23.4</v>
      </c>
      <c r="I19" s="2">
        <v>9.43</v>
      </c>
      <c r="N19" s="2"/>
      <c r="O19" s="2"/>
      <c r="P19" s="2"/>
      <c r="Q19" s="2"/>
      <c r="R19" s="2"/>
      <c r="S19" s="2"/>
      <c r="T19" s="2"/>
      <c r="U19" s="2"/>
      <c r="V19" s="2"/>
    </row>
    <row r="20" spans="1:22" ht="18" x14ac:dyDescent="0.25">
      <c r="A20" s="2">
        <v>25</v>
      </c>
      <c r="B20" s="2">
        <v>9</v>
      </c>
      <c r="C20" s="2">
        <v>25</v>
      </c>
      <c r="D20" s="2" t="s">
        <v>11</v>
      </c>
      <c r="E20" s="2">
        <v>7.14</v>
      </c>
      <c r="F20" s="2">
        <v>3.43</v>
      </c>
      <c r="G20" s="2">
        <v>50</v>
      </c>
      <c r="H20" s="2">
        <v>19.2</v>
      </c>
      <c r="I20" s="2">
        <v>3.98</v>
      </c>
      <c r="N20" s="2"/>
      <c r="O20" s="2"/>
      <c r="P20" s="2"/>
      <c r="Q20" s="2"/>
      <c r="R20" s="2"/>
      <c r="S20" s="2"/>
      <c r="T20" s="2"/>
      <c r="U20" s="2"/>
      <c r="V20" s="2"/>
    </row>
    <row r="21" spans="1:22" ht="18" x14ac:dyDescent="0.25">
      <c r="A21" s="2">
        <v>26</v>
      </c>
      <c r="B21" s="2">
        <v>9</v>
      </c>
      <c r="C21" s="2">
        <v>26</v>
      </c>
      <c r="D21" s="2" t="s">
        <v>12</v>
      </c>
      <c r="E21" s="2">
        <v>7.02</v>
      </c>
      <c r="F21" s="2">
        <v>3.43</v>
      </c>
      <c r="G21" s="2">
        <v>25</v>
      </c>
      <c r="H21" s="2">
        <v>22.3</v>
      </c>
      <c r="I21" s="2">
        <v>1.04</v>
      </c>
      <c r="N21" s="2"/>
      <c r="O21" s="2"/>
      <c r="P21" s="2"/>
      <c r="Q21" s="2"/>
      <c r="R21" s="2"/>
      <c r="S21" s="2"/>
      <c r="T21" s="2"/>
      <c r="U21" s="2"/>
      <c r="V21" s="2"/>
    </row>
    <row r="22" spans="1:22" ht="18" x14ac:dyDescent="0.25">
      <c r="A22" s="2">
        <v>28</v>
      </c>
      <c r="B22" s="2">
        <v>10</v>
      </c>
      <c r="C22" s="2">
        <v>28</v>
      </c>
      <c r="D22" s="2" t="s">
        <v>11</v>
      </c>
      <c r="E22" s="2">
        <v>7.99</v>
      </c>
      <c r="F22" s="2">
        <v>3.17</v>
      </c>
      <c r="G22" s="2">
        <v>25</v>
      </c>
      <c r="H22" s="2">
        <v>18.899999999999999</v>
      </c>
      <c r="I22" s="2">
        <v>4.53</v>
      </c>
      <c r="N22" s="2"/>
      <c r="O22" s="2"/>
      <c r="P22" s="2"/>
      <c r="Q22" s="2"/>
      <c r="R22" s="2"/>
      <c r="S22" s="2"/>
      <c r="T22" s="2"/>
      <c r="U22" s="2"/>
      <c r="V22" s="2"/>
    </row>
    <row r="23" spans="1:22" ht="18" x14ac:dyDescent="0.25">
      <c r="A23" s="2">
        <v>29</v>
      </c>
      <c r="B23" s="2">
        <v>10</v>
      </c>
      <c r="C23" s="2">
        <v>29</v>
      </c>
      <c r="D23" s="2" t="s">
        <v>12</v>
      </c>
      <c r="E23" s="2">
        <v>7.19</v>
      </c>
      <c r="F23" s="2">
        <v>3.17</v>
      </c>
      <c r="G23" s="2">
        <v>50</v>
      </c>
      <c r="H23" s="2">
        <v>16.7</v>
      </c>
      <c r="I23" s="2">
        <v>4.12</v>
      </c>
      <c r="N23" s="2"/>
      <c r="O23" s="2"/>
      <c r="P23" s="2"/>
      <c r="Q23" s="2"/>
      <c r="R23" s="2"/>
      <c r="S23" s="2"/>
      <c r="T23" s="2"/>
      <c r="U23" s="2"/>
      <c r="V23" s="2"/>
    </row>
    <row r="24" spans="1:22" ht="18" x14ac:dyDescent="0.25">
      <c r="A24" s="2">
        <v>31</v>
      </c>
      <c r="B24" s="2">
        <v>11</v>
      </c>
      <c r="C24" s="2">
        <v>31</v>
      </c>
      <c r="D24" s="2" t="s">
        <v>11</v>
      </c>
      <c r="E24" s="2">
        <v>6.47</v>
      </c>
      <c r="F24" s="2">
        <v>1.29</v>
      </c>
      <c r="G24" s="2">
        <v>650</v>
      </c>
      <c r="H24" s="2">
        <v>23.3</v>
      </c>
      <c r="I24" s="2">
        <v>7.62</v>
      </c>
      <c r="N24" s="2"/>
      <c r="O24" s="2"/>
      <c r="P24" s="2"/>
      <c r="Q24" s="2"/>
      <c r="R24" s="2"/>
      <c r="S24" s="2"/>
      <c r="T24" s="2"/>
      <c r="U24" s="2"/>
      <c r="V24" s="2"/>
    </row>
    <row r="25" spans="1:22" ht="18" x14ac:dyDescent="0.25">
      <c r="A25" s="2">
        <v>32</v>
      </c>
      <c r="B25" s="2">
        <v>11</v>
      </c>
      <c r="C25" s="2">
        <v>32</v>
      </c>
      <c r="D25" s="2" t="s">
        <v>12</v>
      </c>
      <c r="E25" s="2">
        <v>6.39</v>
      </c>
      <c r="F25" s="2">
        <v>1.29</v>
      </c>
      <c r="G25" s="2">
        <v>550</v>
      </c>
      <c r="H25" s="2">
        <v>24.4</v>
      </c>
      <c r="I25" s="2">
        <v>5.56</v>
      </c>
      <c r="N25" s="2"/>
      <c r="O25" s="2"/>
      <c r="P25" s="2"/>
      <c r="Q25" s="2"/>
      <c r="R25" s="2"/>
      <c r="S25" s="2"/>
      <c r="T25" s="2"/>
      <c r="U25" s="2"/>
      <c r="V25" s="2"/>
    </row>
    <row r="26" spans="1:22" ht="18" x14ac:dyDescent="0.25">
      <c r="A26" s="2"/>
      <c r="B26" s="2"/>
      <c r="C26" s="2"/>
      <c r="D26" s="2"/>
      <c r="E26" s="2"/>
      <c r="F26" s="2"/>
      <c r="G26" s="2"/>
      <c r="H26" s="2"/>
      <c r="I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" x14ac:dyDescent="0.25">
      <c r="A27" s="2"/>
      <c r="B27" s="2"/>
      <c r="C27" s="2"/>
      <c r="D27" s="2"/>
      <c r="E27" s="2"/>
      <c r="F27" s="2"/>
      <c r="G27" s="2"/>
      <c r="H27" s="2"/>
      <c r="I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" x14ac:dyDescent="0.25">
      <c r="A28" s="2"/>
      <c r="B28" s="2"/>
      <c r="C28" s="2"/>
      <c r="D28" s="2"/>
      <c r="E28" s="2"/>
      <c r="F28" s="2"/>
      <c r="G28" s="2"/>
      <c r="H28" s="2"/>
      <c r="I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" x14ac:dyDescent="0.25">
      <c r="A29" s="2"/>
      <c r="B29" s="2"/>
      <c r="C29" s="2"/>
      <c r="D29" s="2"/>
      <c r="E29" s="2"/>
      <c r="F29" s="2"/>
      <c r="G29" s="2"/>
      <c r="H29" s="2"/>
      <c r="I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" x14ac:dyDescent="0.25">
      <c r="A30" s="2"/>
      <c r="B30" s="2"/>
      <c r="C30" s="2"/>
      <c r="D30" s="2"/>
      <c r="E30" s="2"/>
      <c r="F30" s="2"/>
      <c r="G30" s="2"/>
      <c r="H30" s="2"/>
      <c r="I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" x14ac:dyDescent="0.25">
      <c r="A31" s="2"/>
      <c r="B31" s="2"/>
      <c r="C31" s="2"/>
      <c r="D31" s="2"/>
      <c r="E31" s="2"/>
      <c r="F31" s="2"/>
      <c r="G31" s="2"/>
      <c r="H31" s="2"/>
      <c r="I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8" x14ac:dyDescent="0.25">
      <c r="A32" s="2"/>
      <c r="B32" s="2"/>
      <c r="C32" s="2"/>
      <c r="D32" s="2"/>
      <c r="E32" s="2"/>
      <c r="F32" s="2"/>
      <c r="G32" s="2"/>
      <c r="H32" s="2"/>
      <c r="I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" x14ac:dyDescent="0.25">
      <c r="A33" s="2"/>
      <c r="B33" s="2"/>
      <c r="C33" s="2"/>
      <c r="D33" s="2"/>
      <c r="E33" s="2"/>
      <c r="F33" s="2"/>
      <c r="G33" s="2"/>
      <c r="H33" s="2"/>
      <c r="I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" x14ac:dyDescent="0.25">
      <c r="A34" s="2"/>
      <c r="B34" s="2"/>
      <c r="C34" s="2"/>
      <c r="D34" s="2"/>
      <c r="E34" s="2"/>
      <c r="F34" s="2"/>
      <c r="G34" s="2"/>
      <c r="H34" s="2"/>
      <c r="I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" x14ac:dyDescent="0.25">
      <c r="A35" s="2"/>
      <c r="B35" s="2"/>
      <c r="C35" s="2"/>
      <c r="D35" s="2"/>
      <c r="E35" s="2"/>
      <c r="F35" s="2"/>
      <c r="G35" s="2"/>
      <c r="H35" s="2"/>
      <c r="I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" x14ac:dyDescent="0.25">
      <c r="A36" s="2"/>
      <c r="B36" s="2"/>
      <c r="C36" s="2"/>
      <c r="D36" s="2"/>
      <c r="E36" s="2"/>
      <c r="F36" s="2"/>
      <c r="G36" s="2"/>
      <c r="H36" s="2"/>
      <c r="I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" x14ac:dyDescent="0.25">
      <c r="N37" s="2"/>
      <c r="O37" s="2"/>
      <c r="P37" s="2"/>
      <c r="Q37" s="2"/>
      <c r="R37" s="2"/>
      <c r="S37" s="2"/>
      <c r="T37" s="2"/>
      <c r="U37" s="2"/>
      <c r="V37" s="2"/>
    </row>
    <row r="45" spans="1:22" ht="18" x14ac:dyDescent="0.25">
      <c r="K45" s="10"/>
      <c r="L45" s="11"/>
      <c r="M45" s="11"/>
      <c r="N45" s="11"/>
      <c r="O45" s="11"/>
      <c r="P45" s="11"/>
      <c r="Q45" s="11"/>
      <c r="R45" s="11"/>
      <c r="S45" s="11"/>
    </row>
    <row r="46" spans="1:22" ht="18" x14ac:dyDescent="0.25">
      <c r="K46" s="1"/>
      <c r="L46" s="1"/>
      <c r="M46" s="1"/>
      <c r="N46" s="1"/>
      <c r="O46" s="1"/>
      <c r="P46" s="1"/>
      <c r="Q46" s="1"/>
      <c r="R46" s="1"/>
      <c r="S46" s="1"/>
    </row>
    <row r="47" spans="1:22" ht="18" x14ac:dyDescent="0.25">
      <c r="K47" s="2"/>
      <c r="L47" s="2"/>
      <c r="M47" s="2"/>
      <c r="N47" s="2"/>
      <c r="O47" s="2"/>
      <c r="P47" s="2"/>
      <c r="Q47" s="2"/>
      <c r="R47" s="2"/>
      <c r="S47" s="2"/>
    </row>
    <row r="48" spans="1:22" ht="18" x14ac:dyDescent="0.25">
      <c r="K48" s="2"/>
      <c r="L48" s="2"/>
      <c r="M48" s="2"/>
      <c r="N48" s="2"/>
      <c r="O48" s="2"/>
      <c r="P48" s="2"/>
      <c r="Q48" s="2"/>
      <c r="R48" s="2"/>
      <c r="S48" s="2"/>
    </row>
    <row r="49" spans="11:19" ht="18" x14ac:dyDescent="0.25">
      <c r="K49" s="2"/>
      <c r="L49" s="2"/>
      <c r="M49" s="2"/>
      <c r="N49" s="2"/>
      <c r="O49" s="2"/>
      <c r="P49" s="2"/>
      <c r="Q49" s="2"/>
      <c r="R49" s="2"/>
      <c r="S49" s="2"/>
    </row>
    <row r="50" spans="11:19" ht="18" x14ac:dyDescent="0.25">
      <c r="K50" s="2"/>
      <c r="L50" s="2"/>
      <c r="M50" s="2"/>
      <c r="N50" s="2"/>
      <c r="O50" s="2"/>
      <c r="P50" s="2"/>
      <c r="Q50" s="2"/>
      <c r="R50" s="2"/>
      <c r="S50" s="2"/>
    </row>
    <row r="51" spans="11:19" ht="18" x14ac:dyDescent="0.25">
      <c r="K51" s="2"/>
      <c r="L51" s="2"/>
      <c r="M51" s="2"/>
      <c r="N51" s="2"/>
      <c r="O51" s="2"/>
      <c r="P51" s="2"/>
      <c r="Q51" s="2"/>
      <c r="R51" s="2"/>
      <c r="S51" s="2"/>
    </row>
    <row r="52" spans="11:19" ht="18" x14ac:dyDescent="0.25">
      <c r="K52" s="2"/>
      <c r="L52" s="2"/>
      <c r="M52" s="2"/>
      <c r="N52" s="2"/>
      <c r="O52" s="2"/>
      <c r="P52" s="2"/>
      <c r="Q52" s="2"/>
      <c r="R52" s="2"/>
      <c r="S52" s="2"/>
    </row>
    <row r="53" spans="11:19" ht="18" x14ac:dyDescent="0.25">
      <c r="K53" s="2"/>
      <c r="L53" s="2"/>
      <c r="M53" s="2"/>
      <c r="N53" s="2"/>
      <c r="O53" s="2"/>
      <c r="P53" s="2"/>
      <c r="Q53" s="2"/>
      <c r="R53" s="2"/>
      <c r="S53" s="2"/>
    </row>
    <row r="54" spans="11:19" ht="18" x14ac:dyDescent="0.25">
      <c r="K54" s="2"/>
      <c r="L54" s="2"/>
      <c r="M54" s="2"/>
      <c r="N54" s="2"/>
      <c r="O54" s="2"/>
      <c r="P54" s="2"/>
      <c r="Q54" s="2"/>
      <c r="R54" s="2"/>
      <c r="S54" s="2"/>
    </row>
    <row r="55" spans="11:19" ht="18" x14ac:dyDescent="0.25">
      <c r="K55" s="2"/>
      <c r="L55" s="2"/>
      <c r="M55" s="2"/>
      <c r="N55" s="2"/>
      <c r="O55" s="2"/>
      <c r="P55" s="2"/>
      <c r="Q55" s="2"/>
      <c r="R55" s="2"/>
      <c r="S55" s="2"/>
    </row>
    <row r="56" spans="11:19" ht="18" x14ac:dyDescent="0.25">
      <c r="K56" s="2"/>
      <c r="L56" s="2"/>
      <c r="M56" s="2"/>
      <c r="N56" s="2"/>
      <c r="O56" s="2"/>
      <c r="P56" s="2"/>
      <c r="Q56" s="2"/>
      <c r="R56" s="2"/>
      <c r="S56" s="2"/>
    </row>
    <row r="57" spans="11:19" ht="18" x14ac:dyDescent="0.25">
      <c r="K57" s="2"/>
      <c r="L57" s="2"/>
      <c r="M57" s="2"/>
      <c r="N57" s="2"/>
      <c r="O57" s="2"/>
      <c r="P57" s="2"/>
      <c r="Q57" s="2"/>
      <c r="R57" s="2"/>
      <c r="S57" s="2"/>
    </row>
    <row r="58" spans="11:19" ht="18" x14ac:dyDescent="0.25">
      <c r="K58" s="2"/>
      <c r="L58" s="2"/>
      <c r="M58" s="2"/>
      <c r="N58" s="2"/>
      <c r="O58" s="2"/>
      <c r="P58" s="2"/>
      <c r="Q58" s="2"/>
      <c r="R58" s="2"/>
      <c r="S58" s="2"/>
    </row>
    <row r="59" spans="11:19" ht="18" x14ac:dyDescent="0.25">
      <c r="K59" s="2"/>
      <c r="L59" s="2"/>
      <c r="M59" s="2"/>
      <c r="N59" s="2"/>
      <c r="O59" s="2"/>
      <c r="P59" s="2"/>
      <c r="Q59" s="2"/>
      <c r="R59" s="2"/>
      <c r="S59" s="2"/>
    </row>
    <row r="60" spans="11:19" ht="18" x14ac:dyDescent="0.25">
      <c r="K60" s="2"/>
      <c r="L60" s="2"/>
      <c r="M60" s="2"/>
      <c r="N60" s="2"/>
      <c r="O60" s="2"/>
      <c r="P60" s="2"/>
      <c r="Q60" s="2"/>
      <c r="R60" s="2"/>
      <c r="S60" s="2"/>
    </row>
    <row r="61" spans="11:19" ht="18" x14ac:dyDescent="0.25">
      <c r="K61" s="2"/>
      <c r="L61" s="2"/>
      <c r="M61" s="2"/>
      <c r="N61" s="2"/>
      <c r="O61" s="2"/>
      <c r="P61" s="2"/>
      <c r="Q61" s="2"/>
      <c r="R61" s="2"/>
      <c r="S61" s="2"/>
    </row>
    <row r="62" spans="11:19" ht="18" x14ac:dyDescent="0.25">
      <c r="K62" s="2"/>
      <c r="L62" s="2"/>
      <c r="M62" s="2"/>
      <c r="N62" s="2"/>
      <c r="O62" s="2"/>
      <c r="P62" s="2"/>
      <c r="Q62" s="2"/>
      <c r="R62" s="2"/>
      <c r="S62" s="2"/>
    </row>
    <row r="63" spans="11:19" ht="18" x14ac:dyDescent="0.25">
      <c r="K63" s="2"/>
      <c r="L63" s="2"/>
      <c r="M63" s="2"/>
      <c r="N63" s="2"/>
      <c r="O63" s="2"/>
      <c r="P63" s="2"/>
      <c r="Q63" s="2"/>
      <c r="R63" s="2"/>
      <c r="S63" s="2"/>
    </row>
    <row r="64" spans="11:19" ht="18" x14ac:dyDescent="0.25">
      <c r="K64" s="2"/>
      <c r="L64" s="2"/>
      <c r="M64" s="2"/>
      <c r="N64" s="2"/>
      <c r="O64" s="2"/>
      <c r="P64" s="2"/>
      <c r="Q64" s="2"/>
      <c r="R64" s="2"/>
      <c r="S64" s="2"/>
    </row>
    <row r="65" spans="11:19" ht="18" x14ac:dyDescent="0.25">
      <c r="K65" s="2"/>
      <c r="L65" s="2"/>
      <c r="M65" s="2"/>
      <c r="N65" s="2"/>
      <c r="O65" s="2"/>
      <c r="P65" s="2"/>
      <c r="Q65" s="2"/>
      <c r="R65" s="2"/>
      <c r="S65" s="2"/>
    </row>
    <row r="66" spans="11:19" ht="18" x14ac:dyDescent="0.25">
      <c r="K66" s="2"/>
      <c r="L66" s="2"/>
      <c r="M66" s="2"/>
      <c r="N66" s="2"/>
      <c r="O66" s="2"/>
      <c r="P66" s="2"/>
      <c r="Q66" s="2"/>
      <c r="R66" s="2"/>
      <c r="S66" s="2"/>
    </row>
    <row r="67" spans="11:19" ht="18" x14ac:dyDescent="0.25">
      <c r="K67" s="2"/>
      <c r="L67" s="2"/>
      <c r="M67" s="2"/>
      <c r="N67" s="2"/>
      <c r="O67" s="2"/>
      <c r="P67" s="2"/>
      <c r="Q67" s="2"/>
      <c r="R67" s="2"/>
      <c r="S67" s="2"/>
    </row>
    <row r="68" spans="11:19" ht="18" x14ac:dyDescent="0.25">
      <c r="K68" s="2"/>
      <c r="L68" s="2"/>
      <c r="M68" s="2"/>
      <c r="N68" s="2"/>
      <c r="O68" s="2"/>
      <c r="P68" s="2"/>
      <c r="Q68" s="2"/>
      <c r="R68" s="2"/>
      <c r="S68" s="2"/>
    </row>
    <row r="69" spans="11:19" ht="18" x14ac:dyDescent="0.25">
      <c r="K69" s="2"/>
      <c r="L69" s="2"/>
      <c r="M69" s="2"/>
      <c r="N69" s="2"/>
      <c r="O69" s="2"/>
      <c r="P69" s="2"/>
      <c r="Q69" s="2"/>
      <c r="R69" s="2"/>
      <c r="S69" s="2"/>
    </row>
    <row r="70" spans="11:19" ht="18" x14ac:dyDescent="0.25">
      <c r="K70" s="2"/>
      <c r="L70" s="2"/>
      <c r="M70" s="2"/>
      <c r="N70" s="2"/>
      <c r="O70" s="2"/>
      <c r="P70" s="2"/>
      <c r="Q70" s="2"/>
      <c r="R70" s="2"/>
      <c r="S70" s="2"/>
    </row>
    <row r="71" spans="11:19" ht="18" x14ac:dyDescent="0.25">
      <c r="K71" s="2"/>
      <c r="L71" s="2"/>
      <c r="M71" s="2"/>
      <c r="N71" s="2"/>
      <c r="O71" s="2"/>
      <c r="P71" s="2"/>
      <c r="Q71" s="2"/>
      <c r="R71" s="2"/>
      <c r="S71" s="2"/>
    </row>
    <row r="72" spans="11:19" ht="18" x14ac:dyDescent="0.25">
      <c r="K72" s="2"/>
      <c r="L72" s="2"/>
      <c r="M72" s="2"/>
      <c r="N72" s="2"/>
      <c r="O72" s="2"/>
      <c r="P72" s="2"/>
      <c r="Q72" s="2"/>
      <c r="R72" s="2"/>
      <c r="S72" s="2"/>
    </row>
    <row r="73" spans="11:19" ht="18" x14ac:dyDescent="0.25">
      <c r="K73" s="2"/>
      <c r="L73" s="2"/>
      <c r="M73" s="2"/>
      <c r="N73" s="2"/>
      <c r="O73" s="2"/>
      <c r="P73" s="2"/>
      <c r="Q73" s="2"/>
      <c r="R73" s="2"/>
      <c r="S73" s="2"/>
    </row>
    <row r="74" spans="11:19" ht="18" x14ac:dyDescent="0.25">
      <c r="K74" s="2"/>
      <c r="L74" s="2"/>
      <c r="M74" s="2"/>
      <c r="N74" s="2"/>
      <c r="O74" s="2"/>
      <c r="P74" s="2"/>
      <c r="Q74" s="2"/>
      <c r="R74" s="2"/>
      <c r="S74" s="2"/>
    </row>
    <row r="75" spans="11:19" ht="18" x14ac:dyDescent="0.25">
      <c r="K75" s="2"/>
      <c r="L75" s="2"/>
      <c r="M75" s="2"/>
      <c r="N75" s="2"/>
      <c r="O75" s="2"/>
      <c r="P75" s="2"/>
      <c r="Q75" s="2"/>
      <c r="R75" s="2"/>
      <c r="S75" s="2"/>
    </row>
    <row r="76" spans="11:19" ht="18" x14ac:dyDescent="0.25">
      <c r="K76" s="2"/>
      <c r="L76" s="2"/>
      <c r="M76" s="2"/>
      <c r="N76" s="2"/>
      <c r="O76" s="2"/>
      <c r="P76" s="2"/>
      <c r="Q76" s="2"/>
      <c r="R76" s="2"/>
      <c r="S76" s="2"/>
    </row>
    <row r="77" spans="11:19" ht="18" x14ac:dyDescent="0.25">
      <c r="K77" s="2"/>
      <c r="L77" s="2"/>
      <c r="M77" s="2"/>
      <c r="N77" s="2"/>
      <c r="O77" s="2"/>
      <c r="P77" s="2"/>
      <c r="Q77" s="2"/>
      <c r="R77" s="2"/>
      <c r="S77" s="2"/>
    </row>
    <row r="78" spans="11:19" ht="18" x14ac:dyDescent="0.25">
      <c r="K78" s="2"/>
      <c r="L78" s="2"/>
      <c r="M78" s="2"/>
      <c r="N78" s="2"/>
      <c r="O78" s="2"/>
      <c r="P78" s="2"/>
      <c r="Q78" s="2"/>
      <c r="R78" s="2"/>
      <c r="S78" s="2"/>
    </row>
    <row r="79" spans="11:19" ht="18" x14ac:dyDescent="0.25">
      <c r="K79" s="2"/>
      <c r="L79" s="2"/>
      <c r="M79" s="2"/>
      <c r="N79" s="2"/>
      <c r="O79" s="2"/>
      <c r="P79" s="2"/>
      <c r="Q79" s="2"/>
      <c r="R79" s="2"/>
      <c r="S79" s="2"/>
    </row>
    <row r="80" spans="11:19" ht="18" x14ac:dyDescent="0.25">
      <c r="K80" s="2"/>
      <c r="L80" s="2"/>
      <c r="M80" s="2"/>
      <c r="N80" s="2"/>
      <c r="O80" s="2"/>
      <c r="P80" s="2"/>
      <c r="Q80" s="2"/>
      <c r="R80" s="2"/>
      <c r="S80" s="2"/>
    </row>
  </sheetData>
  <mergeCells count="3">
    <mergeCell ref="A1:I1"/>
    <mergeCell ref="K45:S45"/>
    <mergeCell ref="N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AA9D-E9E9-464F-9FA1-71F90933EB3E}">
  <dimension ref="A1:I36"/>
  <sheetViews>
    <sheetView workbookViewId="0">
      <selection sqref="A1:I14"/>
    </sheetView>
  </sheetViews>
  <sheetFormatPr baseColWidth="10" defaultRowHeight="16" x14ac:dyDescent="0.2"/>
  <sheetData>
    <row r="1" spans="1:9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8" x14ac:dyDescent="0.25">
      <c r="A3" s="2">
        <v>0</v>
      </c>
      <c r="B3" s="2">
        <v>0</v>
      </c>
      <c r="C3" s="2">
        <v>0</v>
      </c>
      <c r="D3" s="2" t="s">
        <v>10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ht="18" x14ac:dyDescent="0.25">
      <c r="A4" s="2">
        <v>3</v>
      </c>
      <c r="B4" s="2">
        <v>1</v>
      </c>
      <c r="C4" s="2">
        <v>3</v>
      </c>
      <c r="D4" s="2" t="s">
        <v>13</v>
      </c>
      <c r="E4" s="2">
        <v>7.31</v>
      </c>
      <c r="F4" s="2">
        <v>0.78</v>
      </c>
      <c r="G4" s="2">
        <v>50</v>
      </c>
      <c r="H4" s="2">
        <v>26.1</v>
      </c>
      <c r="I4" s="2">
        <v>0.2</v>
      </c>
    </row>
    <row r="5" spans="1:9" ht="18" x14ac:dyDescent="0.25">
      <c r="A5" s="2">
        <v>6</v>
      </c>
      <c r="B5" s="2">
        <v>2</v>
      </c>
      <c r="C5" s="2">
        <v>6</v>
      </c>
      <c r="D5" s="2" t="s">
        <v>13</v>
      </c>
      <c r="E5" s="2">
        <v>7.46</v>
      </c>
      <c r="F5" s="2">
        <v>0.45</v>
      </c>
      <c r="G5" s="2">
        <v>250</v>
      </c>
      <c r="H5" s="2">
        <v>18.399999999999999</v>
      </c>
      <c r="I5" s="2">
        <v>1.54</v>
      </c>
    </row>
    <row r="6" spans="1:9" ht="18" x14ac:dyDescent="0.25">
      <c r="A6" s="2">
        <v>9</v>
      </c>
      <c r="B6" s="2">
        <v>3</v>
      </c>
      <c r="C6" s="2">
        <v>9</v>
      </c>
      <c r="D6" s="2" t="s">
        <v>13</v>
      </c>
      <c r="E6" s="2">
        <v>6.87</v>
      </c>
      <c r="F6" s="2">
        <v>0.92</v>
      </c>
      <c r="G6" s="2">
        <v>250</v>
      </c>
      <c r="H6" s="2">
        <v>20.100000000000001</v>
      </c>
      <c r="I6" s="2">
        <v>1.95</v>
      </c>
    </row>
    <row r="7" spans="1:9" ht="18" x14ac:dyDescent="0.25">
      <c r="A7" s="2">
        <v>12</v>
      </c>
      <c r="B7" s="2">
        <v>4</v>
      </c>
      <c r="C7" s="2">
        <v>12</v>
      </c>
      <c r="D7" s="2" t="s">
        <v>13</v>
      </c>
      <c r="E7" s="2">
        <v>7.4</v>
      </c>
      <c r="F7" s="2">
        <v>1.58</v>
      </c>
      <c r="G7" s="2">
        <v>200</v>
      </c>
      <c r="H7" s="2">
        <v>22</v>
      </c>
      <c r="I7" s="2">
        <v>1.91</v>
      </c>
    </row>
    <row r="8" spans="1:9" ht="18" x14ac:dyDescent="0.25">
      <c r="A8" s="2">
        <v>15</v>
      </c>
      <c r="B8" s="2">
        <v>5</v>
      </c>
      <c r="C8" s="2">
        <v>15</v>
      </c>
      <c r="D8" s="2" t="s">
        <v>13</v>
      </c>
      <c r="E8" s="2">
        <v>7.31</v>
      </c>
      <c r="F8" s="2">
        <v>1.1100000000000001</v>
      </c>
      <c r="G8" s="2">
        <v>150</v>
      </c>
      <c r="H8" s="2">
        <v>22.4</v>
      </c>
      <c r="I8" s="2">
        <v>0.98</v>
      </c>
    </row>
    <row r="9" spans="1:9" ht="18" x14ac:dyDescent="0.25">
      <c r="A9" s="2">
        <v>18</v>
      </c>
      <c r="B9" s="2">
        <v>6</v>
      </c>
      <c r="C9" s="2">
        <v>18</v>
      </c>
      <c r="D9" s="2" t="s">
        <v>13</v>
      </c>
      <c r="E9" s="2">
        <v>6.99</v>
      </c>
      <c r="F9" s="2">
        <v>4.78</v>
      </c>
      <c r="G9" s="2">
        <v>50</v>
      </c>
      <c r="H9" s="2">
        <v>18.100000000000001</v>
      </c>
      <c r="I9" s="2">
        <v>0.74</v>
      </c>
    </row>
    <row r="10" spans="1:9" ht="18" x14ac:dyDescent="0.25">
      <c r="A10" s="2">
        <v>21</v>
      </c>
      <c r="B10" s="2">
        <v>7</v>
      </c>
      <c r="C10" s="2">
        <v>21</v>
      </c>
      <c r="D10" s="2" t="s">
        <v>13</v>
      </c>
      <c r="E10" s="2">
        <v>8.1300000000000008</v>
      </c>
      <c r="F10" s="2">
        <v>0.98</v>
      </c>
      <c r="G10" s="2">
        <v>250</v>
      </c>
      <c r="H10" s="2">
        <v>25.5</v>
      </c>
      <c r="I10" s="2">
        <v>3.53</v>
      </c>
    </row>
    <row r="11" spans="1:9" ht="18" x14ac:dyDescent="0.25">
      <c r="A11" s="2">
        <v>24</v>
      </c>
      <c r="B11" s="2">
        <v>8</v>
      </c>
      <c r="C11" s="2">
        <v>24</v>
      </c>
      <c r="D11" s="2" t="s">
        <v>13</v>
      </c>
      <c r="E11" s="2">
        <v>6.77</v>
      </c>
      <c r="F11" s="2">
        <v>2.41</v>
      </c>
      <c r="G11" s="2">
        <v>200</v>
      </c>
      <c r="H11" s="2">
        <v>25.4</v>
      </c>
      <c r="I11" s="2">
        <v>3.84</v>
      </c>
    </row>
    <row r="12" spans="1:9" ht="18" x14ac:dyDescent="0.25">
      <c r="A12" s="2">
        <v>27</v>
      </c>
      <c r="B12" s="2">
        <v>9</v>
      </c>
      <c r="C12" s="2">
        <v>27</v>
      </c>
      <c r="D12" s="2" t="s">
        <v>13</v>
      </c>
      <c r="E12" s="2">
        <v>7.08</v>
      </c>
      <c r="F12" s="2">
        <v>3.02</v>
      </c>
      <c r="G12" s="2">
        <v>10</v>
      </c>
      <c r="H12" s="2">
        <v>19.5</v>
      </c>
      <c r="I12" s="2">
        <v>0.43</v>
      </c>
    </row>
    <row r="13" spans="1:9" ht="18" x14ac:dyDescent="0.25">
      <c r="A13" s="2">
        <v>30</v>
      </c>
      <c r="B13" s="2">
        <v>10</v>
      </c>
      <c r="C13" s="2">
        <v>30</v>
      </c>
      <c r="D13" s="2" t="s">
        <v>13</v>
      </c>
      <c r="E13" s="2">
        <v>7.02</v>
      </c>
      <c r="F13" s="2">
        <v>3.82</v>
      </c>
      <c r="G13" s="2">
        <v>25</v>
      </c>
      <c r="H13" s="2">
        <v>19.7</v>
      </c>
      <c r="I13" s="2">
        <v>3.98</v>
      </c>
    </row>
    <row r="14" spans="1:9" ht="18" x14ac:dyDescent="0.25">
      <c r="A14" s="2">
        <v>33</v>
      </c>
      <c r="B14" s="2">
        <v>11</v>
      </c>
      <c r="C14" s="2">
        <v>33</v>
      </c>
      <c r="D14" s="2" t="s">
        <v>13</v>
      </c>
      <c r="E14" s="2">
        <v>6.76</v>
      </c>
      <c r="F14" s="2">
        <v>1.69</v>
      </c>
      <c r="G14" s="2">
        <v>400</v>
      </c>
      <c r="H14" s="2">
        <v>21.7</v>
      </c>
      <c r="I14" s="2">
        <v>1.02</v>
      </c>
    </row>
    <row r="15" spans="1:9" ht="18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ht="18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ht="18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ht="18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ht="18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ht="18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18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18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18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8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18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18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18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8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18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18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18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18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ht="18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ht="18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ht="18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ht="18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8686-672B-7C41-B585-AFB701AF12D8}">
  <dimension ref="A1:S44"/>
  <sheetViews>
    <sheetView workbookViewId="0">
      <selection activeCell="V8" sqref="V8"/>
    </sheetView>
  </sheetViews>
  <sheetFormatPr baseColWidth="10" defaultRowHeight="16" x14ac:dyDescent="0.2"/>
  <sheetData>
    <row r="1" spans="1:19" ht="18" x14ac:dyDescent="0.25">
      <c r="A1" s="10" t="s">
        <v>40</v>
      </c>
      <c r="B1" s="11"/>
      <c r="D1" s="10" t="s">
        <v>43</v>
      </c>
      <c r="E1" s="11"/>
      <c r="F1" s="11"/>
      <c r="G1" s="11"/>
      <c r="H1" s="11"/>
      <c r="I1" s="11"/>
      <c r="J1" s="11"/>
      <c r="K1" s="11"/>
      <c r="L1" s="11"/>
    </row>
    <row r="2" spans="1:19" ht="18" x14ac:dyDescent="0.25">
      <c r="A2" s="1" t="s">
        <v>41</v>
      </c>
      <c r="B2" s="1" t="s">
        <v>42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41</v>
      </c>
      <c r="O2" s="1"/>
      <c r="P2" s="1"/>
      <c r="Q2" s="1"/>
      <c r="R2" s="1"/>
      <c r="S2" s="1"/>
    </row>
    <row r="3" spans="1:19" ht="18" x14ac:dyDescent="0.25">
      <c r="A3" s="2">
        <v>0</v>
      </c>
      <c r="B3" s="2" t="s">
        <v>10</v>
      </c>
      <c r="D3" s="2">
        <v>0</v>
      </c>
      <c r="E3" s="2">
        <v>0</v>
      </c>
      <c r="F3" s="2">
        <v>0</v>
      </c>
      <c r="G3" s="2">
        <v>0</v>
      </c>
      <c r="H3" s="2" t="s">
        <v>10</v>
      </c>
      <c r="I3" s="2" t="b">
        <v>0</v>
      </c>
      <c r="J3" s="2">
        <v>0</v>
      </c>
      <c r="K3" s="2" t="b">
        <v>0</v>
      </c>
      <c r="L3" s="2">
        <v>0</v>
      </c>
      <c r="O3" s="2"/>
      <c r="P3" s="2"/>
      <c r="Q3" s="2"/>
      <c r="R3" s="2"/>
      <c r="S3" s="2"/>
    </row>
    <row r="4" spans="1:19" ht="18" x14ac:dyDescent="0.25">
      <c r="A4" s="2">
        <v>1</v>
      </c>
      <c r="B4" s="2" t="s">
        <v>18</v>
      </c>
      <c r="D4" s="2">
        <v>1</v>
      </c>
      <c r="E4" s="2">
        <v>1</v>
      </c>
      <c r="F4" s="2">
        <v>2</v>
      </c>
      <c r="G4" s="2">
        <v>4</v>
      </c>
      <c r="H4" s="2">
        <v>4</v>
      </c>
      <c r="I4" s="2" t="b">
        <v>0</v>
      </c>
      <c r="J4" s="2">
        <v>4</v>
      </c>
      <c r="K4" s="2" t="b">
        <v>0</v>
      </c>
      <c r="L4" s="2">
        <v>1</v>
      </c>
      <c r="O4" s="2"/>
      <c r="P4" s="2"/>
      <c r="Q4" s="2"/>
      <c r="R4" s="2"/>
      <c r="S4" s="2"/>
    </row>
    <row r="5" spans="1:19" ht="18" x14ac:dyDescent="0.25">
      <c r="A5" s="2">
        <v>2</v>
      </c>
      <c r="B5" s="2" t="s">
        <v>18</v>
      </c>
      <c r="D5" s="2">
        <v>2</v>
      </c>
      <c r="E5" s="2">
        <v>2</v>
      </c>
      <c r="F5" s="2">
        <v>3</v>
      </c>
      <c r="G5" s="2">
        <v>2</v>
      </c>
      <c r="H5" s="2">
        <v>4</v>
      </c>
      <c r="I5" s="2" t="b">
        <v>0</v>
      </c>
      <c r="J5" s="2">
        <v>3</v>
      </c>
      <c r="K5" s="2" t="b">
        <v>0</v>
      </c>
      <c r="L5" s="2">
        <v>2</v>
      </c>
      <c r="O5" s="2"/>
      <c r="P5" s="2"/>
      <c r="Q5" s="2"/>
      <c r="R5" s="2"/>
      <c r="S5" s="2"/>
    </row>
    <row r="6" spans="1:19" ht="18" x14ac:dyDescent="0.25">
      <c r="A6" s="2">
        <v>3</v>
      </c>
      <c r="B6" s="2" t="s">
        <v>18</v>
      </c>
      <c r="D6" s="2">
        <v>3</v>
      </c>
      <c r="E6" s="2">
        <v>1</v>
      </c>
      <c r="F6" s="2">
        <v>2</v>
      </c>
      <c r="G6" s="2">
        <v>2</v>
      </c>
      <c r="H6" s="2">
        <v>4</v>
      </c>
      <c r="I6" s="2" t="b">
        <v>0</v>
      </c>
      <c r="J6" s="2">
        <v>4</v>
      </c>
      <c r="K6" s="2" t="b">
        <v>1</v>
      </c>
      <c r="L6" s="2">
        <v>3</v>
      </c>
      <c r="O6" s="2"/>
      <c r="P6" s="2"/>
      <c r="Q6" s="2"/>
      <c r="R6" s="2"/>
      <c r="S6" s="2"/>
    </row>
    <row r="7" spans="1:19" ht="18" x14ac:dyDescent="0.25">
      <c r="A7" s="2">
        <v>4</v>
      </c>
      <c r="B7" s="2" t="s">
        <v>29</v>
      </c>
      <c r="D7" s="2">
        <v>4</v>
      </c>
      <c r="E7" s="2">
        <v>1</v>
      </c>
      <c r="F7" s="2">
        <v>2</v>
      </c>
      <c r="G7" s="2">
        <v>3</v>
      </c>
      <c r="H7" s="2">
        <v>3</v>
      </c>
      <c r="I7" s="2" t="b">
        <v>1</v>
      </c>
      <c r="J7" s="2">
        <v>2</v>
      </c>
      <c r="K7" s="2" t="b">
        <v>1</v>
      </c>
      <c r="L7" s="2">
        <v>4</v>
      </c>
      <c r="O7" s="2"/>
      <c r="P7" s="2"/>
      <c r="Q7" s="2"/>
      <c r="R7" s="2"/>
      <c r="S7" s="2"/>
    </row>
    <row r="8" spans="1:19" ht="18" x14ac:dyDescent="0.25">
      <c r="A8" s="2">
        <v>5</v>
      </c>
      <c r="B8" s="2" t="s">
        <v>18</v>
      </c>
      <c r="D8" s="2">
        <v>5</v>
      </c>
      <c r="E8" s="2">
        <v>2</v>
      </c>
      <c r="F8" s="2">
        <v>1</v>
      </c>
      <c r="G8" s="2">
        <v>4</v>
      </c>
      <c r="H8" s="2">
        <v>1</v>
      </c>
      <c r="I8" s="2" t="b">
        <v>0</v>
      </c>
      <c r="J8" s="2">
        <v>3</v>
      </c>
      <c r="K8" s="2" t="b">
        <v>1</v>
      </c>
      <c r="L8" s="2">
        <v>5</v>
      </c>
      <c r="O8" s="2"/>
      <c r="P8" s="2"/>
      <c r="Q8" s="2"/>
      <c r="R8" s="2"/>
      <c r="S8" s="2"/>
    </row>
    <row r="9" spans="1:19" ht="18" x14ac:dyDescent="0.25">
      <c r="A9" s="2">
        <v>6</v>
      </c>
      <c r="B9" s="2" t="s">
        <v>27</v>
      </c>
      <c r="D9" s="2">
        <v>6</v>
      </c>
      <c r="E9" s="2">
        <v>4</v>
      </c>
      <c r="F9" s="2">
        <v>3</v>
      </c>
      <c r="G9" s="2">
        <v>3</v>
      </c>
      <c r="H9" s="2">
        <v>2</v>
      </c>
      <c r="I9" s="2" t="b">
        <v>1</v>
      </c>
      <c r="J9" s="2">
        <v>1</v>
      </c>
      <c r="K9" s="2" t="b">
        <v>1</v>
      </c>
      <c r="L9" s="2">
        <v>6</v>
      </c>
      <c r="O9" s="2"/>
      <c r="P9" s="2"/>
      <c r="Q9" s="2"/>
      <c r="R9" s="2"/>
      <c r="S9" s="2"/>
    </row>
    <row r="10" spans="1:19" ht="18" x14ac:dyDescent="0.25">
      <c r="A10" s="2">
        <v>7</v>
      </c>
      <c r="B10" s="2" t="s">
        <v>18</v>
      </c>
      <c r="D10" s="2">
        <v>7</v>
      </c>
      <c r="E10" s="2">
        <v>2</v>
      </c>
      <c r="F10" s="2">
        <v>2</v>
      </c>
      <c r="G10" s="2">
        <v>3</v>
      </c>
      <c r="H10" s="2">
        <v>2</v>
      </c>
      <c r="I10" s="2" t="b">
        <v>0</v>
      </c>
      <c r="J10" s="2">
        <v>2</v>
      </c>
      <c r="K10" s="2" t="b">
        <v>1</v>
      </c>
      <c r="L10" s="2">
        <v>7</v>
      </c>
      <c r="O10" s="2"/>
      <c r="P10" s="2"/>
      <c r="Q10" s="2"/>
      <c r="R10" s="2"/>
      <c r="S10" s="2"/>
    </row>
    <row r="11" spans="1:19" ht="18" x14ac:dyDescent="0.25">
      <c r="A11" s="2">
        <v>8</v>
      </c>
      <c r="B11" s="2" t="s">
        <v>29</v>
      </c>
      <c r="D11" s="2">
        <v>8</v>
      </c>
      <c r="E11" s="2">
        <v>3</v>
      </c>
      <c r="F11" s="2">
        <v>1</v>
      </c>
      <c r="G11" s="2">
        <v>1</v>
      </c>
      <c r="H11" s="2">
        <v>1</v>
      </c>
      <c r="I11" s="2" t="b">
        <v>0</v>
      </c>
      <c r="J11" s="2">
        <v>4</v>
      </c>
      <c r="K11" s="2" t="b">
        <v>0</v>
      </c>
      <c r="L11" s="2">
        <v>8</v>
      </c>
      <c r="O11" s="2"/>
      <c r="P11" s="2"/>
      <c r="Q11" s="2"/>
      <c r="R11" s="2"/>
      <c r="S11" s="2"/>
    </row>
    <row r="12" spans="1:19" ht="18" x14ac:dyDescent="0.25">
      <c r="A12" s="2">
        <v>9</v>
      </c>
      <c r="B12" s="2" t="s">
        <v>25</v>
      </c>
      <c r="D12" s="2">
        <v>9</v>
      </c>
      <c r="E12" s="2">
        <v>3</v>
      </c>
      <c r="F12" s="2">
        <v>3</v>
      </c>
      <c r="G12" s="2">
        <v>2</v>
      </c>
      <c r="H12" s="2">
        <v>3</v>
      </c>
      <c r="I12" s="2" t="b">
        <v>1</v>
      </c>
      <c r="J12" s="2">
        <v>1</v>
      </c>
      <c r="K12" s="2" t="b">
        <v>1</v>
      </c>
      <c r="L12" s="2">
        <v>9</v>
      </c>
      <c r="O12" s="2"/>
      <c r="P12" s="2"/>
      <c r="Q12" s="2"/>
      <c r="R12" s="2"/>
      <c r="S12" s="2"/>
    </row>
    <row r="13" spans="1:19" ht="18" x14ac:dyDescent="0.25">
      <c r="A13" s="2">
        <v>10</v>
      </c>
      <c r="B13" s="2" t="s">
        <v>18</v>
      </c>
      <c r="D13" s="2">
        <v>10</v>
      </c>
      <c r="E13" s="2">
        <v>2</v>
      </c>
      <c r="F13" s="2">
        <v>4</v>
      </c>
      <c r="G13" s="2">
        <v>2</v>
      </c>
      <c r="H13" s="2">
        <v>2</v>
      </c>
      <c r="I13" s="2" t="b">
        <v>0</v>
      </c>
      <c r="J13" s="2">
        <v>2</v>
      </c>
      <c r="K13" s="2" t="b">
        <v>1</v>
      </c>
      <c r="L13" s="2">
        <v>10</v>
      </c>
      <c r="O13" s="2"/>
      <c r="P13" s="2"/>
      <c r="Q13" s="2"/>
      <c r="R13" s="2"/>
      <c r="S13" s="2"/>
    </row>
    <row r="14" spans="1:19" ht="18" x14ac:dyDescent="0.25">
      <c r="A14" s="2">
        <v>11</v>
      </c>
      <c r="B14" s="2" t="s">
        <v>18</v>
      </c>
      <c r="D14" s="2">
        <v>11</v>
      </c>
      <c r="E14" s="2">
        <v>2</v>
      </c>
      <c r="F14" s="2">
        <v>1</v>
      </c>
      <c r="G14" s="2">
        <v>1</v>
      </c>
      <c r="H14" s="2">
        <v>2</v>
      </c>
      <c r="I14" s="2" t="b">
        <v>0</v>
      </c>
      <c r="J14" s="2">
        <v>2</v>
      </c>
      <c r="K14" s="2" t="b">
        <v>1</v>
      </c>
      <c r="L14" s="2">
        <v>11</v>
      </c>
      <c r="O14" s="2"/>
      <c r="P14" s="2"/>
      <c r="Q14" s="2"/>
      <c r="R14" s="2"/>
      <c r="S14" s="2"/>
    </row>
    <row r="15" spans="1:19" ht="18" x14ac:dyDescent="0.25">
      <c r="A15" s="2">
        <v>12</v>
      </c>
      <c r="B15" s="2" t="s">
        <v>29</v>
      </c>
      <c r="D15" s="2">
        <v>12</v>
      </c>
      <c r="E15" s="2">
        <v>4</v>
      </c>
      <c r="F15" s="2">
        <v>2</v>
      </c>
      <c r="G15" s="2">
        <v>1</v>
      </c>
      <c r="H15" s="2">
        <v>1</v>
      </c>
      <c r="I15" s="2" t="b">
        <v>1</v>
      </c>
      <c r="J15" s="2">
        <v>2</v>
      </c>
      <c r="K15" s="2" t="b">
        <v>0</v>
      </c>
      <c r="L15" s="2">
        <v>12</v>
      </c>
      <c r="O15" s="2"/>
      <c r="P15" s="2"/>
      <c r="Q15" s="2"/>
      <c r="R15" s="2"/>
      <c r="S15" s="2"/>
    </row>
    <row r="16" spans="1:19" ht="18" x14ac:dyDescent="0.25">
      <c r="A16" s="2">
        <v>13</v>
      </c>
      <c r="B16" s="2" t="s">
        <v>18</v>
      </c>
      <c r="D16" s="2">
        <v>13</v>
      </c>
      <c r="E16" s="2">
        <v>3</v>
      </c>
      <c r="F16" s="2">
        <v>3</v>
      </c>
      <c r="G16" s="2">
        <v>3</v>
      </c>
      <c r="H16" s="2">
        <v>2</v>
      </c>
      <c r="I16" s="2" t="b">
        <v>0</v>
      </c>
      <c r="J16" s="2">
        <v>3</v>
      </c>
      <c r="K16" s="2" t="b">
        <v>1</v>
      </c>
      <c r="L16" s="2">
        <v>13</v>
      </c>
      <c r="O16" s="2"/>
      <c r="P16" s="2"/>
      <c r="Q16" s="2"/>
      <c r="R16" s="2"/>
      <c r="S16" s="2"/>
    </row>
    <row r="17" spans="1:19" ht="18" x14ac:dyDescent="0.25">
      <c r="A17" s="2">
        <v>14</v>
      </c>
      <c r="B17" s="2" t="s">
        <v>18</v>
      </c>
      <c r="D17" s="2">
        <v>14</v>
      </c>
      <c r="E17" s="2">
        <v>2</v>
      </c>
      <c r="F17" s="2">
        <v>3</v>
      </c>
      <c r="G17" s="2">
        <v>2</v>
      </c>
      <c r="H17" s="2">
        <v>4</v>
      </c>
      <c r="I17" s="2" t="b">
        <v>1</v>
      </c>
      <c r="J17" s="2">
        <v>2</v>
      </c>
      <c r="K17" s="2" t="b">
        <v>0</v>
      </c>
      <c r="L17" s="2">
        <v>14</v>
      </c>
      <c r="O17" s="2"/>
      <c r="P17" s="2"/>
      <c r="Q17" s="2"/>
      <c r="R17" s="2"/>
      <c r="S17" s="2"/>
    </row>
    <row r="18" spans="1:19" ht="18" x14ac:dyDescent="0.25">
      <c r="A18" s="2">
        <v>15</v>
      </c>
      <c r="B18" s="2" t="s">
        <v>25</v>
      </c>
      <c r="D18" s="2">
        <v>15</v>
      </c>
      <c r="E18" s="2">
        <v>4</v>
      </c>
      <c r="F18" s="2">
        <v>2</v>
      </c>
      <c r="G18" s="2">
        <v>2</v>
      </c>
      <c r="H18" s="2">
        <v>4</v>
      </c>
      <c r="I18" s="2" t="b">
        <v>0</v>
      </c>
      <c r="J18" s="2">
        <v>3</v>
      </c>
      <c r="K18" s="2" t="b">
        <v>0</v>
      </c>
      <c r="L18" s="2">
        <v>15</v>
      </c>
      <c r="O18" s="2"/>
      <c r="P18" s="2"/>
      <c r="Q18" s="2"/>
      <c r="R18" s="2"/>
      <c r="S18" s="2"/>
    </row>
    <row r="19" spans="1:19" ht="18" x14ac:dyDescent="0.25">
      <c r="A19" s="2">
        <v>16</v>
      </c>
      <c r="B19" s="2" t="s">
        <v>25</v>
      </c>
      <c r="D19" s="2">
        <v>16</v>
      </c>
      <c r="E19" s="2">
        <v>3</v>
      </c>
      <c r="F19" s="2">
        <v>2</v>
      </c>
      <c r="G19" s="2">
        <v>2</v>
      </c>
      <c r="H19" s="2">
        <v>3</v>
      </c>
      <c r="I19" s="2" t="b">
        <v>0</v>
      </c>
      <c r="J19" s="2">
        <v>2</v>
      </c>
      <c r="K19" s="2" t="b">
        <v>1</v>
      </c>
      <c r="L19" s="2">
        <v>16</v>
      </c>
      <c r="O19" s="2"/>
      <c r="P19" s="2"/>
      <c r="Q19" s="2"/>
      <c r="R19" s="2"/>
      <c r="S19" s="2"/>
    </row>
    <row r="20" spans="1:19" ht="18" x14ac:dyDescent="0.25">
      <c r="A20" s="2">
        <v>17</v>
      </c>
      <c r="B20" s="2" t="s">
        <v>29</v>
      </c>
      <c r="D20" s="2">
        <v>17</v>
      </c>
      <c r="E20" s="2">
        <v>4</v>
      </c>
      <c r="F20" s="2">
        <v>3</v>
      </c>
      <c r="G20" s="2">
        <v>1</v>
      </c>
      <c r="H20" s="2">
        <v>3</v>
      </c>
      <c r="I20" s="2" t="b">
        <v>0</v>
      </c>
      <c r="J20" s="2">
        <v>4</v>
      </c>
      <c r="K20" s="2" t="b">
        <v>1</v>
      </c>
      <c r="L20" s="2">
        <v>17</v>
      </c>
      <c r="O20" s="2"/>
      <c r="P20" s="2"/>
      <c r="Q20" s="2"/>
      <c r="R20" s="2"/>
      <c r="S20" s="2"/>
    </row>
    <row r="21" spans="1:19" ht="18" x14ac:dyDescent="0.25">
      <c r="A21" s="2">
        <v>18</v>
      </c>
      <c r="B21" s="2" t="s">
        <v>18</v>
      </c>
      <c r="D21" s="2">
        <v>18</v>
      </c>
      <c r="E21" s="2">
        <v>3</v>
      </c>
      <c r="F21" s="2">
        <v>4</v>
      </c>
      <c r="G21" s="2">
        <v>2</v>
      </c>
      <c r="H21" s="2">
        <v>2</v>
      </c>
      <c r="I21" s="2" t="b">
        <v>0</v>
      </c>
      <c r="J21" s="2">
        <v>2</v>
      </c>
      <c r="K21" s="2" t="b">
        <v>1</v>
      </c>
      <c r="L21" s="2">
        <v>18</v>
      </c>
      <c r="O21" s="2"/>
      <c r="P21" s="2"/>
      <c r="Q21" s="2"/>
      <c r="R21" s="2"/>
      <c r="S21" s="2"/>
    </row>
    <row r="22" spans="1:19" ht="18" x14ac:dyDescent="0.25">
      <c r="A22" s="2">
        <v>19</v>
      </c>
      <c r="B22" s="2" t="s">
        <v>18</v>
      </c>
      <c r="D22" s="2">
        <v>19</v>
      </c>
      <c r="E22" s="2">
        <v>1</v>
      </c>
      <c r="F22" s="2">
        <v>1</v>
      </c>
      <c r="G22" s="2">
        <v>2</v>
      </c>
      <c r="H22" s="2">
        <v>2</v>
      </c>
      <c r="I22" s="2" t="b">
        <v>0</v>
      </c>
      <c r="J22" s="2">
        <v>4</v>
      </c>
      <c r="K22" s="2" t="b">
        <v>1</v>
      </c>
      <c r="L22" s="2">
        <v>19</v>
      </c>
      <c r="O22" s="2"/>
      <c r="P22" s="2"/>
      <c r="Q22" s="2"/>
      <c r="R22" s="2"/>
      <c r="S22" s="2"/>
    </row>
    <row r="23" spans="1:19" ht="18" x14ac:dyDescent="0.25">
      <c r="A23" s="2">
        <v>20</v>
      </c>
      <c r="B23" s="2" t="s">
        <v>29</v>
      </c>
      <c r="D23" s="2">
        <v>20</v>
      </c>
      <c r="E23" s="2">
        <v>1</v>
      </c>
      <c r="F23" s="2">
        <v>2</v>
      </c>
      <c r="G23" s="2">
        <v>1</v>
      </c>
      <c r="H23" s="2">
        <v>4</v>
      </c>
      <c r="I23" s="2" t="b">
        <v>0</v>
      </c>
      <c r="J23" s="2">
        <v>4</v>
      </c>
      <c r="K23" s="2" t="b">
        <v>0</v>
      </c>
      <c r="L23" s="2">
        <v>20</v>
      </c>
      <c r="O23" s="2"/>
      <c r="P23" s="2"/>
      <c r="Q23" s="2"/>
      <c r="R23" s="2"/>
      <c r="S23" s="2"/>
    </row>
    <row r="24" spans="1:19" ht="18" x14ac:dyDescent="0.25">
      <c r="A24" s="2">
        <v>21</v>
      </c>
      <c r="B24" s="2" t="s">
        <v>18</v>
      </c>
      <c r="D24" s="2">
        <v>21</v>
      </c>
      <c r="E24" s="2">
        <v>3</v>
      </c>
      <c r="F24" s="2">
        <v>2</v>
      </c>
      <c r="G24" s="2">
        <v>3</v>
      </c>
      <c r="H24" s="2">
        <v>3</v>
      </c>
      <c r="I24" s="2" t="b">
        <v>1</v>
      </c>
      <c r="J24" s="2">
        <v>2</v>
      </c>
      <c r="K24" s="2" t="b">
        <v>1</v>
      </c>
      <c r="L24" s="2">
        <v>21</v>
      </c>
      <c r="O24" s="2"/>
      <c r="P24" s="2"/>
      <c r="Q24" s="2"/>
      <c r="R24" s="2"/>
      <c r="S24" s="2"/>
    </row>
    <row r="25" spans="1:19" ht="18" x14ac:dyDescent="0.25">
      <c r="A25" s="2">
        <v>22</v>
      </c>
      <c r="B25" s="2" t="s">
        <v>25</v>
      </c>
      <c r="D25" s="2">
        <v>22</v>
      </c>
      <c r="E25" s="2">
        <v>2</v>
      </c>
      <c r="F25" s="2">
        <v>1</v>
      </c>
      <c r="G25" s="2">
        <v>2</v>
      </c>
      <c r="H25" s="2">
        <v>4</v>
      </c>
      <c r="I25" s="2" t="b">
        <v>1</v>
      </c>
      <c r="J25" s="2">
        <v>1</v>
      </c>
      <c r="K25" s="2" t="b">
        <v>1</v>
      </c>
      <c r="L25" s="2">
        <v>22</v>
      </c>
      <c r="O25" s="2"/>
      <c r="P25" s="2"/>
      <c r="Q25" s="2"/>
      <c r="R25" s="2"/>
      <c r="S25" s="2"/>
    </row>
    <row r="26" spans="1:19" ht="18" x14ac:dyDescent="0.25">
      <c r="A26" s="2">
        <v>23</v>
      </c>
      <c r="B26" s="2" t="s">
        <v>18</v>
      </c>
      <c r="D26" s="2">
        <v>23</v>
      </c>
      <c r="E26" s="2">
        <v>4</v>
      </c>
      <c r="F26" s="2">
        <v>4</v>
      </c>
      <c r="G26" s="2">
        <v>2</v>
      </c>
      <c r="H26" s="2">
        <v>2</v>
      </c>
      <c r="I26" s="2" t="b">
        <v>0</v>
      </c>
      <c r="J26" s="2">
        <v>2</v>
      </c>
      <c r="K26" s="2" t="b">
        <v>1</v>
      </c>
      <c r="L26" s="2">
        <v>23</v>
      </c>
      <c r="O26" s="2"/>
      <c r="P26" s="2"/>
      <c r="Q26" s="2"/>
      <c r="R26" s="2"/>
      <c r="S26" s="2"/>
    </row>
    <row r="27" spans="1:19" ht="18" x14ac:dyDescent="0.25">
      <c r="A27" s="2">
        <v>24</v>
      </c>
      <c r="B27" s="2" t="s">
        <v>18</v>
      </c>
      <c r="D27" s="2">
        <v>24</v>
      </c>
      <c r="E27" s="2">
        <v>1</v>
      </c>
      <c r="F27" s="2">
        <v>3</v>
      </c>
      <c r="G27" s="2">
        <v>2</v>
      </c>
      <c r="H27" s="2">
        <v>2</v>
      </c>
      <c r="I27" s="2" t="b">
        <v>0</v>
      </c>
      <c r="J27" s="2">
        <v>4</v>
      </c>
      <c r="K27" s="2" t="b">
        <v>0</v>
      </c>
      <c r="L27" s="2">
        <v>24</v>
      </c>
      <c r="O27" s="2"/>
      <c r="P27" s="2"/>
      <c r="Q27" s="2"/>
      <c r="R27" s="2"/>
      <c r="S27" s="2"/>
    </row>
    <row r="28" spans="1:19" ht="18" x14ac:dyDescent="0.25">
      <c r="A28" s="2">
        <v>25</v>
      </c>
      <c r="B28" s="2" t="s">
        <v>18</v>
      </c>
      <c r="D28" s="2">
        <v>25</v>
      </c>
      <c r="E28" s="2">
        <v>2</v>
      </c>
      <c r="F28" s="2">
        <v>3</v>
      </c>
      <c r="G28" s="2">
        <v>2</v>
      </c>
      <c r="H28" s="2">
        <v>3</v>
      </c>
      <c r="I28" s="2" t="b">
        <v>0</v>
      </c>
      <c r="J28" s="2">
        <v>3</v>
      </c>
      <c r="K28" s="2" t="b">
        <v>1</v>
      </c>
      <c r="L28" s="2">
        <v>25</v>
      </c>
      <c r="O28" s="2"/>
      <c r="P28" s="2"/>
      <c r="Q28" s="2"/>
      <c r="R28" s="2"/>
      <c r="S28" s="2"/>
    </row>
    <row r="29" spans="1:19" ht="18" x14ac:dyDescent="0.25">
      <c r="A29" s="2">
        <v>26</v>
      </c>
      <c r="B29" s="2" t="s">
        <v>29</v>
      </c>
      <c r="D29" s="2">
        <v>26</v>
      </c>
      <c r="E29" s="2">
        <v>1</v>
      </c>
      <c r="F29" s="2">
        <v>2</v>
      </c>
      <c r="G29" s="2">
        <v>3</v>
      </c>
      <c r="H29" s="2">
        <v>1</v>
      </c>
      <c r="I29" s="2" t="b">
        <v>0</v>
      </c>
      <c r="J29" s="2">
        <v>4</v>
      </c>
      <c r="K29" s="2" t="b">
        <v>0</v>
      </c>
      <c r="L29" s="2">
        <v>26</v>
      </c>
      <c r="O29" s="2"/>
      <c r="P29" s="2"/>
      <c r="Q29" s="2"/>
      <c r="R29" s="2"/>
      <c r="S29" s="2"/>
    </row>
    <row r="30" spans="1:19" ht="18" x14ac:dyDescent="0.25">
      <c r="A30" s="2">
        <v>27</v>
      </c>
      <c r="B30" s="2" t="s">
        <v>29</v>
      </c>
      <c r="D30" s="2">
        <v>27</v>
      </c>
      <c r="E30" s="2">
        <v>1</v>
      </c>
      <c r="F30" s="2">
        <v>1</v>
      </c>
      <c r="G30" s="2">
        <v>3</v>
      </c>
      <c r="H30" s="2">
        <v>3</v>
      </c>
      <c r="I30" s="2" t="b">
        <v>1</v>
      </c>
      <c r="J30" s="2">
        <v>2</v>
      </c>
      <c r="K30" s="2" t="b">
        <v>0</v>
      </c>
      <c r="L30" s="2">
        <v>27</v>
      </c>
      <c r="O30" s="2"/>
      <c r="P30" s="2"/>
      <c r="Q30" s="2"/>
      <c r="R30" s="2"/>
      <c r="S30" s="2"/>
    </row>
    <row r="31" spans="1:19" ht="18" x14ac:dyDescent="0.25">
      <c r="A31" s="2">
        <v>28</v>
      </c>
      <c r="B31" s="2" t="s">
        <v>29</v>
      </c>
      <c r="D31" s="2">
        <v>28</v>
      </c>
      <c r="E31" s="2">
        <v>3</v>
      </c>
      <c r="F31" s="2">
        <v>2</v>
      </c>
      <c r="G31" s="2">
        <v>1</v>
      </c>
      <c r="H31" s="2">
        <v>3</v>
      </c>
      <c r="I31" s="2" t="b">
        <v>0</v>
      </c>
      <c r="J31" s="2">
        <v>3</v>
      </c>
      <c r="K31" s="2" t="b">
        <v>1</v>
      </c>
      <c r="L31" s="2">
        <v>28</v>
      </c>
      <c r="O31" s="2"/>
      <c r="P31" s="2"/>
      <c r="Q31" s="2"/>
      <c r="R31" s="2"/>
      <c r="S31" s="2"/>
    </row>
    <row r="32" spans="1:19" ht="18" x14ac:dyDescent="0.25">
      <c r="A32" s="2">
        <v>29</v>
      </c>
      <c r="B32" s="2" t="s">
        <v>18</v>
      </c>
      <c r="D32" s="2">
        <v>29</v>
      </c>
      <c r="E32" s="2">
        <v>4</v>
      </c>
      <c r="F32" s="2">
        <v>3</v>
      </c>
      <c r="G32" s="2">
        <v>3</v>
      </c>
      <c r="H32" s="2">
        <v>2</v>
      </c>
      <c r="I32" s="2" t="b">
        <v>1</v>
      </c>
      <c r="J32" s="2">
        <v>1</v>
      </c>
      <c r="K32" s="2" t="b">
        <v>1</v>
      </c>
      <c r="L32" s="2">
        <v>29</v>
      </c>
      <c r="O32" s="2"/>
      <c r="P32" s="2"/>
      <c r="Q32" s="2"/>
      <c r="R32" s="2"/>
      <c r="S32" s="2"/>
    </row>
    <row r="33" spans="1:19" ht="18" x14ac:dyDescent="0.25">
      <c r="A33" s="2">
        <v>30</v>
      </c>
      <c r="B33" s="2" t="s">
        <v>25</v>
      </c>
      <c r="D33" s="2">
        <v>30</v>
      </c>
      <c r="E33" s="2">
        <v>2</v>
      </c>
      <c r="F33" s="2">
        <v>1</v>
      </c>
      <c r="G33" s="2">
        <v>2</v>
      </c>
      <c r="H33" s="2">
        <v>4</v>
      </c>
      <c r="I33" s="2" t="b">
        <v>1</v>
      </c>
      <c r="J33" s="2">
        <v>2</v>
      </c>
      <c r="K33" s="2" t="b">
        <v>1</v>
      </c>
      <c r="L33" s="2">
        <v>30</v>
      </c>
      <c r="O33" s="2"/>
      <c r="P33" s="2"/>
      <c r="Q33" s="2"/>
      <c r="R33" s="2"/>
      <c r="S33" s="2"/>
    </row>
    <row r="34" spans="1:19" ht="18" x14ac:dyDescent="0.25">
      <c r="A34" s="2">
        <v>31</v>
      </c>
      <c r="B34" s="2" t="s">
        <v>18</v>
      </c>
      <c r="D34" s="2">
        <v>31</v>
      </c>
      <c r="E34" s="2">
        <v>2</v>
      </c>
      <c r="F34" s="2">
        <v>3</v>
      </c>
      <c r="G34" s="2">
        <v>1</v>
      </c>
      <c r="H34" s="2">
        <v>3</v>
      </c>
      <c r="I34" s="2" t="b">
        <v>0</v>
      </c>
      <c r="J34" s="2">
        <v>2</v>
      </c>
      <c r="K34" s="2" t="b">
        <v>1</v>
      </c>
      <c r="L34" s="2">
        <v>31</v>
      </c>
      <c r="O34" s="2"/>
      <c r="P34" s="2"/>
      <c r="Q34" s="2"/>
      <c r="R34" s="2"/>
      <c r="S34" s="2"/>
    </row>
    <row r="35" spans="1:19" ht="18" x14ac:dyDescent="0.25">
      <c r="A35" s="2">
        <v>32</v>
      </c>
      <c r="B35" s="2" t="s">
        <v>18</v>
      </c>
      <c r="D35" s="2">
        <v>32</v>
      </c>
      <c r="E35" s="2">
        <v>1</v>
      </c>
      <c r="F35" s="2">
        <v>2</v>
      </c>
      <c r="G35" s="2">
        <v>2</v>
      </c>
      <c r="H35" s="2">
        <v>2</v>
      </c>
      <c r="I35" s="2" t="b">
        <v>1</v>
      </c>
      <c r="J35" s="2">
        <v>1</v>
      </c>
      <c r="K35" s="2" t="b">
        <v>1</v>
      </c>
      <c r="L35" s="2">
        <v>32</v>
      </c>
      <c r="O35" s="2"/>
      <c r="P35" s="2"/>
      <c r="Q35" s="2"/>
      <c r="R35" s="2"/>
      <c r="S35" s="2"/>
    </row>
    <row r="36" spans="1:19" ht="18" x14ac:dyDescent="0.25">
      <c r="A36" s="2">
        <v>33</v>
      </c>
      <c r="B36" s="2" t="s">
        <v>18</v>
      </c>
      <c r="D36" s="2">
        <v>33</v>
      </c>
      <c r="E36" s="2">
        <v>1</v>
      </c>
      <c r="F36" s="2">
        <v>3</v>
      </c>
      <c r="G36" s="2">
        <v>2</v>
      </c>
      <c r="H36" s="2">
        <v>2</v>
      </c>
      <c r="I36" s="2" t="b">
        <v>0</v>
      </c>
      <c r="J36" s="2">
        <v>3</v>
      </c>
      <c r="K36" s="2" t="b">
        <v>0</v>
      </c>
      <c r="L36" s="2">
        <v>33</v>
      </c>
      <c r="O36" s="2"/>
      <c r="P36" s="2"/>
      <c r="Q36" s="2"/>
      <c r="R36" s="2"/>
      <c r="S36" s="2"/>
    </row>
    <row r="37" spans="1:19" ht="18" x14ac:dyDescent="0.25">
      <c r="A37" s="2">
        <v>34</v>
      </c>
      <c r="B37" s="2" t="s">
        <v>18</v>
      </c>
      <c r="D37" s="2">
        <v>34</v>
      </c>
      <c r="E37" s="2">
        <v>4</v>
      </c>
      <c r="F37" s="2">
        <v>1</v>
      </c>
      <c r="G37" s="2">
        <v>2</v>
      </c>
      <c r="H37" s="2">
        <v>2</v>
      </c>
      <c r="I37" s="2" t="b">
        <v>1</v>
      </c>
      <c r="J37" s="2">
        <v>1</v>
      </c>
      <c r="K37" s="2" t="b">
        <v>1</v>
      </c>
      <c r="L37" s="2">
        <v>34</v>
      </c>
      <c r="O37" s="2"/>
      <c r="P37" s="2"/>
      <c r="Q37" s="2"/>
      <c r="R37" s="2"/>
      <c r="S37" s="2"/>
    </row>
    <row r="38" spans="1:19" ht="18" x14ac:dyDescent="0.25">
      <c r="A38" s="2">
        <v>35</v>
      </c>
      <c r="B38" s="2" t="s">
        <v>18</v>
      </c>
      <c r="D38" s="2">
        <v>35</v>
      </c>
      <c r="E38" s="2">
        <v>2</v>
      </c>
      <c r="F38" s="2">
        <v>3</v>
      </c>
      <c r="G38" s="2">
        <v>3</v>
      </c>
      <c r="H38" s="2">
        <v>2</v>
      </c>
      <c r="I38" s="2" t="b">
        <v>1</v>
      </c>
      <c r="J38" s="2">
        <v>1</v>
      </c>
      <c r="K38" s="2" t="b">
        <v>1</v>
      </c>
      <c r="L38" s="2">
        <v>35</v>
      </c>
      <c r="O38" s="2"/>
      <c r="P38" s="2"/>
      <c r="Q38" s="2"/>
      <c r="R38" s="2"/>
      <c r="S38" s="2"/>
    </row>
    <row r="39" spans="1:19" ht="18" x14ac:dyDescent="0.25">
      <c r="A39" s="2">
        <v>36</v>
      </c>
      <c r="B39" s="2" t="s">
        <v>29</v>
      </c>
      <c r="D39" s="2">
        <v>36</v>
      </c>
      <c r="E39" s="2">
        <v>4</v>
      </c>
      <c r="F39" s="2">
        <v>1</v>
      </c>
      <c r="G39" s="2">
        <v>3</v>
      </c>
      <c r="H39" s="2">
        <v>2</v>
      </c>
      <c r="I39" s="2" t="b">
        <v>0</v>
      </c>
      <c r="J39" s="2">
        <v>2</v>
      </c>
      <c r="K39" s="2" t="b">
        <v>0</v>
      </c>
      <c r="L39" s="2">
        <v>36</v>
      </c>
      <c r="O39" s="2"/>
      <c r="P39" s="2"/>
      <c r="Q39" s="2"/>
      <c r="R39" s="2"/>
      <c r="S39" s="2"/>
    </row>
    <row r="40" spans="1:19" ht="18" x14ac:dyDescent="0.25">
      <c r="A40" s="2">
        <v>37</v>
      </c>
      <c r="B40" s="2" t="s">
        <v>25</v>
      </c>
      <c r="D40" s="2">
        <v>37</v>
      </c>
      <c r="E40" s="2">
        <v>4</v>
      </c>
      <c r="F40" s="2">
        <v>2</v>
      </c>
      <c r="G40" s="2">
        <v>3</v>
      </c>
      <c r="H40" s="2">
        <v>2</v>
      </c>
      <c r="I40" s="2" t="b">
        <v>1</v>
      </c>
      <c r="J40" s="2">
        <v>3</v>
      </c>
      <c r="K40" s="2" t="b">
        <v>1</v>
      </c>
      <c r="L40" s="2">
        <v>37</v>
      </c>
      <c r="O40" s="2"/>
      <c r="P40" s="2"/>
      <c r="Q40" s="2"/>
      <c r="R40" s="2"/>
      <c r="S40" s="2"/>
    </row>
    <row r="41" spans="1:19" ht="18" x14ac:dyDescent="0.25">
      <c r="A41" s="2">
        <v>38</v>
      </c>
      <c r="B41" s="2" t="s">
        <v>25</v>
      </c>
      <c r="D41" s="2">
        <v>38</v>
      </c>
      <c r="E41" s="2">
        <v>1</v>
      </c>
      <c r="F41" s="2">
        <v>4</v>
      </c>
      <c r="G41" s="2">
        <v>2</v>
      </c>
      <c r="H41" s="2">
        <v>1</v>
      </c>
      <c r="I41" s="2" t="b">
        <v>0</v>
      </c>
      <c r="J41" s="2">
        <v>1</v>
      </c>
      <c r="K41" s="2" t="b">
        <v>0</v>
      </c>
      <c r="L41" s="2">
        <v>38</v>
      </c>
      <c r="O41" s="2"/>
      <c r="P41" s="2"/>
      <c r="Q41" s="2"/>
      <c r="R41" s="2"/>
      <c r="S41" s="2"/>
    </row>
    <row r="42" spans="1:19" ht="18" x14ac:dyDescent="0.25">
      <c r="A42" s="2">
        <v>39</v>
      </c>
      <c r="B42" s="2" t="s">
        <v>18</v>
      </c>
      <c r="D42" s="2">
        <v>39</v>
      </c>
      <c r="E42" s="2">
        <v>3</v>
      </c>
      <c r="F42" s="2">
        <v>2</v>
      </c>
      <c r="G42" s="2">
        <v>3</v>
      </c>
      <c r="H42" s="2">
        <v>2</v>
      </c>
      <c r="I42" s="2" t="b">
        <v>1</v>
      </c>
      <c r="J42" s="2">
        <v>2</v>
      </c>
      <c r="K42" s="2" t="b">
        <v>1</v>
      </c>
      <c r="L42" s="2">
        <v>39</v>
      </c>
      <c r="O42" s="2"/>
      <c r="P42" s="2"/>
      <c r="Q42" s="2"/>
      <c r="R42" s="2"/>
      <c r="S42" s="2"/>
    </row>
    <row r="43" spans="1:19" ht="18" x14ac:dyDescent="0.25">
      <c r="A43" s="2">
        <v>40</v>
      </c>
      <c r="B43" s="2" t="s">
        <v>18</v>
      </c>
      <c r="D43" s="2">
        <v>40</v>
      </c>
      <c r="E43" s="2">
        <v>2</v>
      </c>
      <c r="F43" s="2">
        <v>3</v>
      </c>
      <c r="G43" s="2">
        <v>2</v>
      </c>
      <c r="H43" s="2">
        <v>3</v>
      </c>
      <c r="I43" s="2" t="b">
        <v>0</v>
      </c>
      <c r="J43" s="2">
        <v>3</v>
      </c>
      <c r="K43" s="2" t="b">
        <v>1</v>
      </c>
      <c r="L43" s="2">
        <v>40</v>
      </c>
      <c r="O43" s="2"/>
      <c r="P43" s="2"/>
      <c r="Q43" s="2"/>
      <c r="R43" s="2"/>
      <c r="S43" s="2"/>
    </row>
    <row r="44" spans="1:19" ht="18" x14ac:dyDescent="0.25">
      <c r="A44" s="2">
        <v>41</v>
      </c>
      <c r="B44" s="2" t="s">
        <v>29</v>
      </c>
      <c r="D44" s="2">
        <v>41</v>
      </c>
      <c r="E44" s="2">
        <v>2</v>
      </c>
      <c r="F44" s="2">
        <v>3</v>
      </c>
      <c r="G44" s="2">
        <v>3</v>
      </c>
      <c r="H44" s="2">
        <v>4</v>
      </c>
      <c r="I44" s="2" t="b">
        <v>1</v>
      </c>
      <c r="J44" s="2">
        <v>2</v>
      </c>
      <c r="K44" s="2" t="b">
        <v>1</v>
      </c>
      <c r="L44" s="2">
        <v>41</v>
      </c>
      <c r="S44" s="2"/>
    </row>
  </sheetData>
  <mergeCells count="2">
    <mergeCell ref="A1:B1"/>
    <mergeCell ref="D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0852-9D27-F849-97A1-F81B7BF3EC1C}">
  <dimension ref="A1:BX91"/>
  <sheetViews>
    <sheetView tabSelected="1" topLeftCell="AM35" zoomScale="250" zoomScaleNormal="250" workbookViewId="0">
      <selection activeCell="AU62" sqref="AU62"/>
    </sheetView>
  </sheetViews>
  <sheetFormatPr baseColWidth="10" defaultRowHeight="16" x14ac:dyDescent="0.2"/>
  <cols>
    <col min="3" max="3" width="10.83203125" customWidth="1"/>
    <col min="12" max="12" width="10.5" bestFit="1" customWidth="1"/>
    <col min="13" max="13" width="14.1640625" bestFit="1" customWidth="1"/>
  </cols>
  <sheetData>
    <row r="1" spans="1:76" ht="18" x14ac:dyDescent="0.25">
      <c r="A1" s="10" t="s">
        <v>78</v>
      </c>
      <c r="B1" s="11"/>
      <c r="C1" s="11"/>
      <c r="E1" s="10"/>
      <c r="F1" s="11"/>
      <c r="G1" s="11"/>
      <c r="H1" s="11"/>
      <c r="J1" s="4"/>
      <c r="AR1" s="10" t="s">
        <v>0</v>
      </c>
      <c r="AS1" s="11"/>
      <c r="AT1" s="11"/>
      <c r="AU1" s="11"/>
      <c r="AV1" s="11"/>
      <c r="AW1" s="11"/>
      <c r="AX1" s="11"/>
      <c r="AY1" s="11"/>
      <c r="AZ1" s="11"/>
      <c r="BD1" s="10" t="s">
        <v>14</v>
      </c>
      <c r="BE1" s="11"/>
      <c r="BF1" s="11"/>
      <c r="BH1" s="10" t="s">
        <v>32</v>
      </c>
      <c r="BI1" s="11"/>
      <c r="BJ1" s="11"/>
      <c r="BK1" s="11"/>
      <c r="BM1" s="4"/>
      <c r="BO1" s="9"/>
      <c r="BP1" s="10" t="s">
        <v>96</v>
      </c>
      <c r="BQ1" s="11"/>
      <c r="BR1" s="11"/>
      <c r="BS1" s="11"/>
      <c r="BT1" s="11"/>
      <c r="BU1" s="11"/>
      <c r="BV1" s="11"/>
      <c r="BW1" s="11"/>
      <c r="BX1" s="11"/>
    </row>
    <row r="2" spans="1:76" ht="18" x14ac:dyDescent="0.25">
      <c r="A2" s="1" t="s">
        <v>79</v>
      </c>
      <c r="B2" s="1"/>
      <c r="C2" s="1"/>
      <c r="E2" s="1"/>
      <c r="F2" s="1"/>
      <c r="G2" s="1"/>
      <c r="H2" s="1"/>
      <c r="J2" s="1"/>
      <c r="K2" s="1" t="s">
        <v>42</v>
      </c>
      <c r="L2" s="1" t="s">
        <v>53</v>
      </c>
      <c r="R2" s="1" t="s">
        <v>41</v>
      </c>
      <c r="S2" s="1" t="s">
        <v>42</v>
      </c>
      <c r="T2" s="1" t="s">
        <v>49</v>
      </c>
      <c r="U2" s="1" t="s">
        <v>51</v>
      </c>
      <c r="V2" s="1" t="s">
        <v>53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D2" s="1" t="s">
        <v>2</v>
      </c>
      <c r="BE2" s="1" t="s">
        <v>15</v>
      </c>
      <c r="BF2" s="1" t="s">
        <v>16</v>
      </c>
      <c r="BH2" s="1" t="s">
        <v>3</v>
      </c>
      <c r="BI2" s="1" t="s">
        <v>33</v>
      </c>
      <c r="BJ2" s="1" t="s">
        <v>34</v>
      </c>
      <c r="BK2" s="1" t="s">
        <v>35</v>
      </c>
      <c r="BM2" s="1"/>
      <c r="BP2" s="1" t="s">
        <v>1</v>
      </c>
      <c r="BQ2" s="1" t="s">
        <v>2</v>
      </c>
      <c r="BR2" s="1" t="s">
        <v>3</v>
      </c>
      <c r="BS2" s="1" t="s">
        <v>4</v>
      </c>
      <c r="BT2" s="1" t="s">
        <v>5</v>
      </c>
      <c r="BU2" s="1" t="s">
        <v>6</v>
      </c>
      <c r="BV2" s="1" t="s">
        <v>7</v>
      </c>
      <c r="BW2" s="1" t="s">
        <v>8</v>
      </c>
      <c r="BX2" s="1" t="s">
        <v>9</v>
      </c>
    </row>
    <row r="3" spans="1:76" ht="18" x14ac:dyDescent="0.25">
      <c r="A3" s="2"/>
      <c r="B3" s="2"/>
      <c r="C3" s="2"/>
      <c r="E3" s="2"/>
      <c r="F3" s="2"/>
      <c r="G3" s="2"/>
      <c r="H3" s="3"/>
      <c r="J3" s="2"/>
      <c r="K3" s="2" t="s">
        <v>18</v>
      </c>
      <c r="L3" t="s">
        <v>54</v>
      </c>
      <c r="R3" s="2">
        <v>1</v>
      </c>
      <c r="S3" s="2" t="s">
        <v>18</v>
      </c>
      <c r="T3" s="2" t="b">
        <v>0</v>
      </c>
      <c r="U3" s="2" t="b">
        <v>0</v>
      </c>
      <c r="V3" t="s">
        <v>54</v>
      </c>
      <c r="AR3" s="2">
        <v>0</v>
      </c>
      <c r="AS3" s="2">
        <v>0</v>
      </c>
      <c r="AT3" s="2">
        <v>0</v>
      </c>
      <c r="AU3" s="2" t="s">
        <v>10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D3" s="2">
        <v>0</v>
      </c>
      <c r="BE3" s="2" t="s">
        <v>10</v>
      </c>
      <c r="BF3" s="2" t="s">
        <v>10</v>
      </c>
      <c r="BH3" s="2">
        <v>0</v>
      </c>
      <c r="BI3" s="2" t="s">
        <v>10</v>
      </c>
      <c r="BJ3" s="2" t="s">
        <v>10</v>
      </c>
      <c r="BK3" s="3">
        <v>36526</v>
      </c>
      <c r="BM3" s="2"/>
      <c r="BP3" s="2">
        <v>0</v>
      </c>
      <c r="BQ3" s="2">
        <v>0</v>
      </c>
      <c r="BR3" s="2">
        <v>0</v>
      </c>
      <c r="BS3" s="2" t="s">
        <v>10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</row>
    <row r="4" spans="1:76" ht="18" x14ac:dyDescent="0.25">
      <c r="A4" s="2"/>
      <c r="B4" s="2"/>
      <c r="C4" s="2"/>
      <c r="E4" s="2"/>
      <c r="F4" s="2"/>
      <c r="G4" s="2"/>
      <c r="H4" s="3"/>
      <c r="J4" s="2"/>
      <c r="K4" s="2" t="s">
        <v>18</v>
      </c>
      <c r="L4" s="6" t="s">
        <v>55</v>
      </c>
      <c r="R4" s="2">
        <v>2</v>
      </c>
      <c r="S4" s="2" t="s">
        <v>18</v>
      </c>
      <c r="T4" s="2" t="b">
        <v>0</v>
      </c>
      <c r="U4" s="2" t="b">
        <v>0</v>
      </c>
      <c r="V4" s="6" t="s">
        <v>55</v>
      </c>
      <c r="AR4" s="2">
        <v>1</v>
      </c>
      <c r="AS4" s="2">
        <v>1</v>
      </c>
      <c r="AT4" s="2">
        <v>1</v>
      </c>
      <c r="AU4" s="2" t="s">
        <v>11</v>
      </c>
      <c r="AV4" s="2">
        <v>7.11</v>
      </c>
      <c r="AW4" s="2">
        <v>0.31</v>
      </c>
      <c r="AX4" s="2">
        <v>10</v>
      </c>
      <c r="AY4" s="2">
        <v>27</v>
      </c>
      <c r="AZ4" s="2">
        <v>2.11</v>
      </c>
      <c r="BD4" s="2">
        <v>1</v>
      </c>
      <c r="BE4" s="2" t="s">
        <v>17</v>
      </c>
      <c r="BF4" s="2" t="s">
        <v>18</v>
      </c>
      <c r="BH4" s="2">
        <v>1</v>
      </c>
      <c r="BI4" s="2" t="s">
        <v>36</v>
      </c>
      <c r="BJ4" s="2" t="s">
        <v>37</v>
      </c>
      <c r="BK4" s="3">
        <v>43637</v>
      </c>
      <c r="BM4" s="2"/>
      <c r="BP4" s="2">
        <v>3</v>
      </c>
      <c r="BQ4" s="2">
        <v>1</v>
      </c>
      <c r="BR4" s="2">
        <v>3</v>
      </c>
      <c r="BS4" s="2" t="s">
        <v>13</v>
      </c>
      <c r="BT4" s="2">
        <v>7.31</v>
      </c>
      <c r="BU4" s="2">
        <v>0.78</v>
      </c>
      <c r="BV4" s="2">
        <v>50</v>
      </c>
      <c r="BW4" s="2">
        <v>26.1</v>
      </c>
      <c r="BX4" s="2">
        <v>0.2</v>
      </c>
    </row>
    <row r="5" spans="1:76" ht="18" x14ac:dyDescent="0.25">
      <c r="A5" s="2"/>
      <c r="B5" s="2"/>
      <c r="C5" s="2"/>
      <c r="E5" s="2"/>
      <c r="F5" s="2"/>
      <c r="G5" s="2"/>
      <c r="H5" s="3"/>
      <c r="J5" s="2"/>
      <c r="K5" s="2" t="s">
        <v>18</v>
      </c>
      <c r="L5" t="s">
        <v>59</v>
      </c>
      <c r="R5" s="2">
        <v>3</v>
      </c>
      <c r="S5" s="2" t="s">
        <v>18</v>
      </c>
      <c r="T5" s="2" t="b">
        <v>0</v>
      </c>
      <c r="U5" s="2" t="b">
        <v>1</v>
      </c>
      <c r="AR5" s="2">
        <v>2</v>
      </c>
      <c r="AS5" s="2">
        <v>1</v>
      </c>
      <c r="AT5" s="2">
        <v>2</v>
      </c>
      <c r="AU5" s="2" t="s">
        <v>12</v>
      </c>
      <c r="AV5" s="2">
        <v>7.17</v>
      </c>
      <c r="AW5" s="2">
        <v>0.31</v>
      </c>
      <c r="AX5" s="2">
        <v>25</v>
      </c>
      <c r="AY5" s="2">
        <v>25.5</v>
      </c>
      <c r="AZ5" s="2">
        <v>1.4</v>
      </c>
      <c r="BD5" s="2">
        <v>2</v>
      </c>
      <c r="BE5" s="2" t="s">
        <v>19</v>
      </c>
      <c r="BF5" s="2" t="s">
        <v>18</v>
      </c>
      <c r="BH5" s="2">
        <v>2</v>
      </c>
      <c r="BI5" s="2" t="s">
        <v>36</v>
      </c>
      <c r="BJ5" s="2" t="s">
        <v>37</v>
      </c>
      <c r="BK5" s="3">
        <v>43637</v>
      </c>
      <c r="BM5" s="2"/>
      <c r="BP5" s="2">
        <v>6</v>
      </c>
      <c r="BQ5" s="2">
        <v>2</v>
      </c>
      <c r="BR5" s="2">
        <v>6</v>
      </c>
      <c r="BS5" s="2" t="s">
        <v>13</v>
      </c>
      <c r="BT5" s="2">
        <v>7.46</v>
      </c>
      <c r="BU5" s="2">
        <v>0.45</v>
      </c>
      <c r="BV5" s="2">
        <v>250</v>
      </c>
      <c r="BW5" s="2">
        <v>18.399999999999999</v>
      </c>
      <c r="BX5" s="2">
        <v>1.54</v>
      </c>
    </row>
    <row r="6" spans="1:76" ht="18" x14ac:dyDescent="0.25">
      <c r="A6" s="2"/>
      <c r="B6" s="2"/>
      <c r="C6" s="2"/>
      <c r="E6" s="2"/>
      <c r="F6" s="2"/>
      <c r="G6" s="2"/>
      <c r="H6" s="3"/>
      <c r="J6" s="2"/>
      <c r="K6" s="2" t="s">
        <v>29</v>
      </c>
      <c r="L6" s="5" t="s">
        <v>42</v>
      </c>
      <c r="M6" t="s">
        <v>56</v>
      </c>
      <c r="N6" s="7" t="s">
        <v>71</v>
      </c>
      <c r="R6" s="2">
        <v>4</v>
      </c>
      <c r="S6" s="2" t="s">
        <v>29</v>
      </c>
      <c r="T6" s="2" t="b">
        <v>1</v>
      </c>
      <c r="U6" s="2" t="b">
        <v>1</v>
      </c>
      <c r="V6" s="5" t="s">
        <v>60</v>
      </c>
      <c r="W6" s="5" t="s">
        <v>42</v>
      </c>
      <c r="AR6" s="2">
        <v>3</v>
      </c>
      <c r="AS6" s="2">
        <v>1</v>
      </c>
      <c r="AT6" s="2">
        <v>3</v>
      </c>
      <c r="AU6" s="2" t="s">
        <v>13</v>
      </c>
      <c r="AV6" s="2">
        <v>7.31</v>
      </c>
      <c r="AW6" s="2">
        <v>0.78</v>
      </c>
      <c r="AX6" s="2">
        <v>50</v>
      </c>
      <c r="AY6" s="2">
        <v>26.1</v>
      </c>
      <c r="AZ6" s="2">
        <v>0.2</v>
      </c>
      <c r="BD6" s="2">
        <v>3</v>
      </c>
      <c r="BE6" s="2" t="s">
        <v>20</v>
      </c>
      <c r="BF6" s="2" t="s">
        <v>18</v>
      </c>
      <c r="BH6" s="2">
        <v>3</v>
      </c>
      <c r="BI6" s="2" t="s">
        <v>36</v>
      </c>
      <c r="BJ6" s="2" t="s">
        <v>37</v>
      </c>
      <c r="BK6" s="3">
        <v>43637</v>
      </c>
      <c r="BM6" s="2"/>
      <c r="BP6" s="2">
        <v>9</v>
      </c>
      <c r="BQ6" s="2">
        <v>3</v>
      </c>
      <c r="BR6" s="2">
        <v>9</v>
      </c>
      <c r="BS6" s="2" t="s">
        <v>13</v>
      </c>
      <c r="BT6" s="2">
        <v>6.87</v>
      </c>
      <c r="BU6" s="2">
        <v>0.92</v>
      </c>
      <c r="BV6" s="2">
        <v>250</v>
      </c>
      <c r="BW6" s="2">
        <v>20.100000000000001</v>
      </c>
      <c r="BX6" s="2">
        <v>1.95</v>
      </c>
    </row>
    <row r="7" spans="1:76" ht="18" x14ac:dyDescent="0.25">
      <c r="A7" s="2"/>
      <c r="B7" s="2"/>
      <c r="C7" s="2"/>
      <c r="E7" s="2"/>
      <c r="F7" s="2"/>
      <c r="G7" s="2"/>
      <c r="H7" s="3"/>
      <c r="J7" s="2"/>
      <c r="K7" s="2" t="s">
        <v>18</v>
      </c>
      <c r="L7" t="s">
        <v>18</v>
      </c>
      <c r="M7">
        <v>23</v>
      </c>
      <c r="N7" s="7" t="s">
        <v>72</v>
      </c>
      <c r="R7" s="2">
        <v>5</v>
      </c>
      <c r="S7" s="2" t="s">
        <v>18</v>
      </c>
      <c r="T7" s="2" t="b">
        <v>0</v>
      </c>
      <c r="U7" s="2" t="b">
        <v>1</v>
      </c>
      <c r="V7" s="5" t="s">
        <v>61</v>
      </c>
      <c r="W7" t="s">
        <v>18</v>
      </c>
      <c r="X7" t="s">
        <v>29</v>
      </c>
      <c r="Y7" t="s">
        <v>25</v>
      </c>
      <c r="Z7" t="s">
        <v>27</v>
      </c>
      <c r="AA7" t="s">
        <v>52</v>
      </c>
      <c r="AR7" s="2">
        <v>4</v>
      </c>
      <c r="AS7" s="2">
        <v>2</v>
      </c>
      <c r="AT7" s="2">
        <v>4</v>
      </c>
      <c r="AU7" s="2" t="s">
        <v>11</v>
      </c>
      <c r="AV7" s="2">
        <v>7.84</v>
      </c>
      <c r="AW7" s="2">
        <v>0.72</v>
      </c>
      <c r="AX7" s="2">
        <v>200</v>
      </c>
      <c r="AY7" s="2">
        <v>21</v>
      </c>
      <c r="AZ7" s="2">
        <v>4.92</v>
      </c>
      <c r="BD7" s="2">
        <v>4</v>
      </c>
      <c r="BE7" s="2" t="s">
        <v>21</v>
      </c>
      <c r="BF7" s="2" t="s">
        <v>18</v>
      </c>
      <c r="BH7" s="2">
        <v>4</v>
      </c>
      <c r="BI7" s="2" t="s">
        <v>38</v>
      </c>
      <c r="BJ7" s="2" t="s">
        <v>39</v>
      </c>
      <c r="BK7" s="3">
        <v>45842</v>
      </c>
      <c r="BM7" s="2"/>
      <c r="BP7" s="2">
        <v>12</v>
      </c>
      <c r="BQ7" s="2">
        <v>4</v>
      </c>
      <c r="BR7" s="2">
        <v>12</v>
      </c>
      <c r="BS7" s="2" t="s">
        <v>13</v>
      </c>
      <c r="BT7" s="2">
        <v>7.4</v>
      </c>
      <c r="BU7" s="2">
        <v>1.58</v>
      </c>
      <c r="BV7" s="2">
        <v>200</v>
      </c>
      <c r="BW7" s="2">
        <v>22</v>
      </c>
      <c r="BX7" s="2">
        <v>1.91</v>
      </c>
    </row>
    <row r="8" spans="1:76" ht="18" x14ac:dyDescent="0.25">
      <c r="A8" s="2"/>
      <c r="B8" s="2"/>
      <c r="C8" s="2"/>
      <c r="E8" s="2"/>
      <c r="F8" s="2"/>
      <c r="G8" s="2"/>
      <c r="H8" s="3"/>
      <c r="J8" s="2"/>
      <c r="K8" s="2" t="s">
        <v>27</v>
      </c>
      <c r="L8" t="s">
        <v>29</v>
      </c>
      <c r="M8">
        <v>10</v>
      </c>
      <c r="N8" s="7" t="s">
        <v>73</v>
      </c>
      <c r="R8" s="2">
        <v>6</v>
      </c>
      <c r="S8" s="2" t="s">
        <v>27</v>
      </c>
      <c r="T8" s="2" t="b">
        <v>1</v>
      </c>
      <c r="U8" s="2" t="b">
        <v>1</v>
      </c>
      <c r="V8" t="s">
        <v>57</v>
      </c>
      <c r="W8">
        <v>16</v>
      </c>
      <c r="X8">
        <v>6</v>
      </c>
      <c r="Y8">
        <v>3</v>
      </c>
      <c r="AA8">
        <v>25</v>
      </c>
      <c r="AR8" s="2">
        <v>5</v>
      </c>
      <c r="AS8" s="2">
        <v>2</v>
      </c>
      <c r="AT8" s="2">
        <v>5</v>
      </c>
      <c r="AU8" s="2" t="s">
        <v>12</v>
      </c>
      <c r="AV8" s="2">
        <v>7.89</v>
      </c>
      <c r="AW8" s="2">
        <v>0.72</v>
      </c>
      <c r="AX8" s="2">
        <v>150</v>
      </c>
      <c r="AY8" s="2">
        <v>21.9</v>
      </c>
      <c r="AZ8" s="2">
        <v>2.91</v>
      </c>
      <c r="BD8" s="2">
        <v>5</v>
      </c>
      <c r="BE8" s="2" t="s">
        <v>22</v>
      </c>
      <c r="BF8" s="2" t="s">
        <v>18</v>
      </c>
      <c r="BH8" s="2">
        <v>5</v>
      </c>
      <c r="BI8" s="2" t="s">
        <v>38</v>
      </c>
      <c r="BJ8" s="2" t="s">
        <v>39</v>
      </c>
      <c r="BK8" s="3">
        <v>45842</v>
      </c>
      <c r="BM8" s="2"/>
      <c r="BP8" s="2">
        <v>15</v>
      </c>
      <c r="BQ8" s="2">
        <v>5</v>
      </c>
      <c r="BR8" s="2">
        <v>15</v>
      </c>
      <c r="BS8" s="2" t="s">
        <v>13</v>
      </c>
      <c r="BT8" s="2">
        <v>7.31</v>
      </c>
      <c r="BU8" s="2">
        <v>1.1100000000000001</v>
      </c>
      <c r="BV8" s="2">
        <v>150</v>
      </c>
      <c r="BW8" s="2">
        <v>22.4</v>
      </c>
      <c r="BX8" s="2">
        <v>0.98</v>
      </c>
    </row>
    <row r="9" spans="1:76" ht="18" x14ac:dyDescent="0.25">
      <c r="A9" s="2"/>
      <c r="B9" s="2"/>
      <c r="C9" s="2"/>
      <c r="E9" s="2"/>
      <c r="F9" s="2"/>
      <c r="G9" s="2"/>
      <c r="H9" s="3"/>
      <c r="J9" s="2"/>
      <c r="K9" s="2" t="s">
        <v>18</v>
      </c>
      <c r="L9" t="s">
        <v>25</v>
      </c>
      <c r="M9">
        <v>7</v>
      </c>
      <c r="R9" s="2">
        <v>7</v>
      </c>
      <c r="S9" s="2" t="s">
        <v>18</v>
      </c>
      <c r="T9" s="2" t="b">
        <v>0</v>
      </c>
      <c r="U9" s="2" t="b">
        <v>1</v>
      </c>
      <c r="V9" t="s">
        <v>58</v>
      </c>
      <c r="W9">
        <v>7</v>
      </c>
      <c r="X9">
        <v>4</v>
      </c>
      <c r="Y9">
        <v>4</v>
      </c>
      <c r="Z9">
        <v>1</v>
      </c>
      <c r="AA9">
        <v>16</v>
      </c>
      <c r="AR9" s="2">
        <v>6</v>
      </c>
      <c r="AS9" s="2">
        <v>2</v>
      </c>
      <c r="AT9" s="2">
        <v>6</v>
      </c>
      <c r="AU9" s="2" t="s">
        <v>13</v>
      </c>
      <c r="AV9" s="2">
        <v>7.46</v>
      </c>
      <c r="AW9" s="2">
        <v>0.45</v>
      </c>
      <c r="AX9" s="2">
        <v>250</v>
      </c>
      <c r="AY9" s="2">
        <v>18.399999999999999</v>
      </c>
      <c r="AZ9" s="2">
        <v>1.54</v>
      </c>
      <c r="BD9" s="2">
        <v>6</v>
      </c>
      <c r="BE9" s="2" t="s">
        <v>23</v>
      </c>
      <c r="BF9" s="2" t="s">
        <v>18</v>
      </c>
      <c r="BH9" s="2">
        <v>6</v>
      </c>
      <c r="BI9" s="2" t="s">
        <v>36</v>
      </c>
      <c r="BJ9" s="2" t="s">
        <v>37</v>
      </c>
      <c r="BK9" s="3">
        <v>43637</v>
      </c>
      <c r="BM9" s="2"/>
      <c r="BP9" s="2">
        <v>18</v>
      </c>
      <c r="BQ9" s="2">
        <v>6</v>
      </c>
      <c r="BR9" s="2">
        <v>18</v>
      </c>
      <c r="BS9" s="2" t="s">
        <v>13</v>
      </c>
      <c r="BT9" s="2">
        <v>6.99</v>
      </c>
      <c r="BU9" s="2">
        <v>4.78</v>
      </c>
      <c r="BV9" s="2">
        <v>50</v>
      </c>
      <c r="BW9" s="2">
        <v>18.100000000000001</v>
      </c>
      <c r="BX9" s="2">
        <v>0.74</v>
      </c>
    </row>
    <row r="10" spans="1:76" ht="18" x14ac:dyDescent="0.25">
      <c r="A10" s="2"/>
      <c r="B10" s="2"/>
      <c r="C10" s="2"/>
      <c r="E10" s="2"/>
      <c r="F10" s="2"/>
      <c r="G10" s="2"/>
      <c r="H10" s="3"/>
      <c r="J10" s="2"/>
      <c r="K10" s="2" t="s">
        <v>29</v>
      </c>
      <c r="L10" t="s">
        <v>27</v>
      </c>
      <c r="M10">
        <v>1</v>
      </c>
      <c r="R10" s="2">
        <v>8</v>
      </c>
      <c r="S10" s="2" t="s">
        <v>29</v>
      </c>
      <c r="T10" s="2" t="b">
        <v>0</v>
      </c>
      <c r="U10" s="2" t="b">
        <v>0</v>
      </c>
      <c r="V10" t="s">
        <v>52</v>
      </c>
      <c r="W10">
        <v>23</v>
      </c>
      <c r="X10">
        <v>10</v>
      </c>
      <c r="Y10">
        <v>7</v>
      </c>
      <c r="Z10">
        <v>1</v>
      </c>
      <c r="AA10">
        <v>41</v>
      </c>
      <c r="AR10" s="2">
        <v>7</v>
      </c>
      <c r="AS10" s="2">
        <v>3</v>
      </c>
      <c r="AT10" s="2">
        <v>7</v>
      </c>
      <c r="AU10" s="2" t="s">
        <v>11</v>
      </c>
      <c r="AV10" s="2">
        <v>6.98</v>
      </c>
      <c r="AW10" s="2">
        <v>1.32</v>
      </c>
      <c r="AX10" s="2">
        <v>350</v>
      </c>
      <c r="AY10" s="2">
        <v>19.3</v>
      </c>
      <c r="AZ10" s="2">
        <v>5.13</v>
      </c>
      <c r="BD10" s="2">
        <v>7</v>
      </c>
      <c r="BE10" s="2" t="s">
        <v>24</v>
      </c>
      <c r="BF10" s="2" t="s">
        <v>25</v>
      </c>
      <c r="BH10" s="2">
        <v>7</v>
      </c>
      <c r="BI10" s="2" t="s">
        <v>38</v>
      </c>
      <c r="BJ10" s="2" t="s">
        <v>39</v>
      </c>
      <c r="BK10" s="3">
        <v>45842</v>
      </c>
      <c r="BM10" s="2"/>
      <c r="BP10" s="2">
        <v>21</v>
      </c>
      <c r="BQ10" s="2">
        <v>7</v>
      </c>
      <c r="BR10" s="2">
        <v>21</v>
      </c>
      <c r="BS10" s="2" t="s">
        <v>13</v>
      </c>
      <c r="BT10" s="2">
        <v>8.1300000000000008</v>
      </c>
      <c r="BU10" s="2">
        <v>0.98</v>
      </c>
      <c r="BV10" s="2">
        <v>250</v>
      </c>
      <c r="BW10" s="2">
        <v>25.5</v>
      </c>
      <c r="BX10" s="2">
        <v>3.53</v>
      </c>
    </row>
    <row r="11" spans="1:76" ht="18" x14ac:dyDescent="0.25">
      <c r="A11" s="2"/>
      <c r="B11" s="2"/>
      <c r="C11" s="2"/>
      <c r="E11" s="2"/>
      <c r="F11" s="2"/>
      <c r="G11" s="2"/>
      <c r="H11" s="3"/>
      <c r="J11" s="2"/>
      <c r="K11" s="2" t="s">
        <v>25</v>
      </c>
      <c r="L11" t="s">
        <v>52</v>
      </c>
      <c r="M11">
        <v>41</v>
      </c>
      <c r="R11" s="2">
        <v>9</v>
      </c>
      <c r="S11" s="2" t="s">
        <v>25</v>
      </c>
      <c r="T11" s="2" t="b">
        <v>1</v>
      </c>
      <c r="U11" s="2" t="b">
        <v>1</v>
      </c>
      <c r="V11" s="7" t="s">
        <v>82</v>
      </c>
      <c r="AR11" s="2">
        <v>8</v>
      </c>
      <c r="AS11" s="2">
        <v>3</v>
      </c>
      <c r="AT11" s="2">
        <v>8</v>
      </c>
      <c r="AU11" s="2" t="s">
        <v>12</v>
      </c>
      <c r="AV11" s="2">
        <v>7.02</v>
      </c>
      <c r="AW11" s="2">
        <v>1.32</v>
      </c>
      <c r="AX11" s="2">
        <v>250</v>
      </c>
      <c r="AY11" s="2">
        <v>22.3</v>
      </c>
      <c r="AZ11" s="2">
        <v>2.4300000000000002</v>
      </c>
      <c r="BD11" s="2">
        <v>8</v>
      </c>
      <c r="BE11" s="2" t="s">
        <v>26</v>
      </c>
      <c r="BF11" s="2" t="s">
        <v>27</v>
      </c>
      <c r="BH11" s="2">
        <v>8</v>
      </c>
      <c r="BI11" s="2" t="s">
        <v>38</v>
      </c>
      <c r="BJ11" s="2" t="s">
        <v>39</v>
      </c>
      <c r="BK11" s="3">
        <v>45842</v>
      </c>
      <c r="BM11" s="2"/>
      <c r="BP11" s="2">
        <v>24</v>
      </c>
      <c r="BQ11" s="2">
        <v>8</v>
      </c>
      <c r="BR11" s="2">
        <v>24</v>
      </c>
      <c r="BS11" s="2" t="s">
        <v>13</v>
      </c>
      <c r="BT11" s="2">
        <v>6.77</v>
      </c>
      <c r="BU11" s="2">
        <v>2.41</v>
      </c>
      <c r="BV11" s="2">
        <v>200</v>
      </c>
      <c r="BW11" s="2">
        <v>25.4</v>
      </c>
      <c r="BX11" s="2">
        <v>3.84</v>
      </c>
    </row>
    <row r="12" spans="1:76" ht="18" x14ac:dyDescent="0.25">
      <c r="A12" s="2"/>
      <c r="B12" s="2"/>
      <c r="C12" s="2"/>
      <c r="E12" s="2"/>
      <c r="F12" s="2"/>
      <c r="G12" s="2"/>
      <c r="H12" s="3"/>
      <c r="J12" s="2"/>
      <c r="K12" s="2" t="s">
        <v>18</v>
      </c>
      <c r="R12" s="2">
        <v>10</v>
      </c>
      <c r="S12" s="2" t="s">
        <v>18</v>
      </c>
      <c r="T12" s="2" t="b">
        <v>0</v>
      </c>
      <c r="U12" s="2" t="b">
        <v>1</v>
      </c>
      <c r="V12" s="7" t="s">
        <v>83</v>
      </c>
      <c r="AR12" s="2">
        <v>9</v>
      </c>
      <c r="AS12" s="2">
        <v>3</v>
      </c>
      <c r="AT12" s="2">
        <v>9</v>
      </c>
      <c r="AU12" s="2" t="s">
        <v>13</v>
      </c>
      <c r="AV12" s="2">
        <v>6.87</v>
      </c>
      <c r="AW12" s="2">
        <v>0.92</v>
      </c>
      <c r="AX12" s="2">
        <v>250</v>
      </c>
      <c r="AY12" s="2">
        <v>20.100000000000001</v>
      </c>
      <c r="AZ12" s="2">
        <v>1.95</v>
      </c>
      <c r="BD12" s="2">
        <v>9</v>
      </c>
      <c r="BE12" s="2" t="s">
        <v>28</v>
      </c>
      <c r="BF12" s="2" t="s">
        <v>29</v>
      </c>
      <c r="BH12" s="2">
        <v>9</v>
      </c>
      <c r="BI12" s="2" t="s">
        <v>36</v>
      </c>
      <c r="BJ12" s="2" t="s">
        <v>37</v>
      </c>
      <c r="BK12" s="3">
        <v>43637</v>
      </c>
      <c r="BM12" s="2"/>
      <c r="BP12" s="2">
        <v>27</v>
      </c>
      <c r="BQ12" s="2">
        <v>9</v>
      </c>
      <c r="BR12" s="2">
        <v>27</v>
      </c>
      <c r="BS12" s="2" t="s">
        <v>13</v>
      </c>
      <c r="BT12" s="2">
        <v>7.08</v>
      </c>
      <c r="BU12" s="2">
        <v>3.02</v>
      </c>
      <c r="BV12" s="2">
        <v>10</v>
      </c>
      <c r="BW12" s="2">
        <v>19.5</v>
      </c>
      <c r="BX12" s="2">
        <v>0.43</v>
      </c>
    </row>
    <row r="13" spans="1:76" ht="18" x14ac:dyDescent="0.25">
      <c r="A13" s="2"/>
      <c r="B13" s="2"/>
      <c r="C13" s="2"/>
      <c r="E13" s="2"/>
      <c r="F13" s="2"/>
      <c r="G13" s="2"/>
      <c r="H13" s="3"/>
      <c r="J13" s="2"/>
      <c r="K13" s="2" t="s">
        <v>18</v>
      </c>
      <c r="R13" s="2">
        <v>11</v>
      </c>
      <c r="S13" s="2" t="s">
        <v>18</v>
      </c>
      <c r="T13" s="2" t="b">
        <v>0</v>
      </c>
      <c r="U13" s="2" t="b">
        <v>1</v>
      </c>
      <c r="AR13" s="2">
        <v>10</v>
      </c>
      <c r="AS13" s="2">
        <v>4</v>
      </c>
      <c r="AT13" s="2">
        <v>10</v>
      </c>
      <c r="AU13" s="2" t="s">
        <v>11</v>
      </c>
      <c r="AV13" s="2">
        <v>7.14</v>
      </c>
      <c r="AW13" s="2">
        <v>1.52</v>
      </c>
      <c r="AX13" s="2">
        <v>250</v>
      </c>
      <c r="AY13" s="2">
        <v>24.5</v>
      </c>
      <c r="AZ13" s="2">
        <v>3.22</v>
      </c>
      <c r="BD13" s="2">
        <v>10</v>
      </c>
      <c r="BE13" s="2" t="s">
        <v>30</v>
      </c>
      <c r="BF13" s="2" t="s">
        <v>25</v>
      </c>
      <c r="BH13" s="2">
        <v>10</v>
      </c>
      <c r="BI13" s="2" t="s">
        <v>38</v>
      </c>
      <c r="BJ13" s="2" t="s">
        <v>39</v>
      </c>
      <c r="BK13" s="3">
        <v>45842</v>
      </c>
      <c r="BM13" s="2"/>
      <c r="BP13" s="2">
        <v>30</v>
      </c>
      <c r="BQ13" s="2">
        <v>10</v>
      </c>
      <c r="BR13" s="2">
        <v>30</v>
      </c>
      <c r="BS13" s="2" t="s">
        <v>13</v>
      </c>
      <c r="BT13" s="2">
        <v>7.02</v>
      </c>
      <c r="BU13" s="2">
        <v>3.82</v>
      </c>
      <c r="BV13" s="2">
        <v>25</v>
      </c>
      <c r="BW13" s="2">
        <v>19.7</v>
      </c>
      <c r="BX13" s="2">
        <v>3.98</v>
      </c>
    </row>
    <row r="14" spans="1:76" ht="18" x14ac:dyDescent="0.25">
      <c r="A14" s="2"/>
      <c r="B14" s="2"/>
      <c r="C14" s="2"/>
      <c r="E14" s="2"/>
      <c r="F14" s="2"/>
      <c r="G14" s="2"/>
      <c r="H14" s="3"/>
      <c r="J14" s="2"/>
      <c r="K14" s="2" t="s">
        <v>29</v>
      </c>
      <c r="R14" s="2">
        <v>12</v>
      </c>
      <c r="S14" s="2" t="s">
        <v>29</v>
      </c>
      <c r="T14" s="2" t="b">
        <v>1</v>
      </c>
      <c r="U14" s="2" t="b">
        <v>0</v>
      </c>
      <c r="AR14" s="2">
        <v>11</v>
      </c>
      <c r="AS14" s="2">
        <v>4</v>
      </c>
      <c r="AT14" s="2">
        <v>11</v>
      </c>
      <c r="AU14" s="2" t="s">
        <v>12</v>
      </c>
      <c r="AV14" s="2">
        <v>7.03</v>
      </c>
      <c r="AW14" s="2">
        <v>1.52</v>
      </c>
      <c r="AX14" s="2">
        <v>250</v>
      </c>
      <c r="AY14" s="2">
        <v>24.1</v>
      </c>
      <c r="AZ14" s="2">
        <v>2.0099999999999998</v>
      </c>
      <c r="BD14" s="2">
        <v>11</v>
      </c>
      <c r="BE14" s="2" t="s">
        <v>31</v>
      </c>
      <c r="BF14" s="2" t="s">
        <v>25</v>
      </c>
      <c r="BH14" s="2">
        <v>11</v>
      </c>
      <c r="BI14" s="2" t="s">
        <v>38</v>
      </c>
      <c r="BJ14" s="2" t="s">
        <v>39</v>
      </c>
      <c r="BK14" s="3">
        <v>45842</v>
      </c>
      <c r="BM14" s="2"/>
      <c r="BP14" s="2">
        <v>33</v>
      </c>
      <c r="BQ14" s="2">
        <v>11</v>
      </c>
      <c r="BR14" s="2">
        <v>33</v>
      </c>
      <c r="BS14" s="2" t="s">
        <v>13</v>
      </c>
      <c r="BT14" s="2">
        <v>6.76</v>
      </c>
      <c r="BU14" s="2">
        <v>1.69</v>
      </c>
      <c r="BV14" s="2">
        <v>400</v>
      </c>
      <c r="BW14" s="2">
        <v>21.7</v>
      </c>
      <c r="BX14" s="2">
        <v>1.02</v>
      </c>
    </row>
    <row r="15" spans="1:76" ht="18" x14ac:dyDescent="0.25">
      <c r="E15" s="2"/>
      <c r="F15" s="2"/>
      <c r="G15" s="2"/>
      <c r="H15" s="3"/>
      <c r="J15" s="2"/>
      <c r="K15" s="2" t="s">
        <v>18</v>
      </c>
      <c r="R15" s="2">
        <v>13</v>
      </c>
      <c r="S15" s="2" t="s">
        <v>18</v>
      </c>
      <c r="T15" s="2" t="b">
        <v>0</v>
      </c>
      <c r="U15" s="2" t="b">
        <v>1</v>
      </c>
      <c r="AR15" s="2">
        <v>12</v>
      </c>
      <c r="AS15" s="2">
        <v>4</v>
      </c>
      <c r="AT15" s="2">
        <v>12</v>
      </c>
      <c r="AU15" s="2" t="s">
        <v>13</v>
      </c>
      <c r="AV15" s="2">
        <v>7.4</v>
      </c>
      <c r="AW15" s="2">
        <v>1.58</v>
      </c>
      <c r="AX15" s="2">
        <v>200</v>
      </c>
      <c r="AY15" s="2">
        <v>22</v>
      </c>
      <c r="AZ15" s="2">
        <v>1.91</v>
      </c>
      <c r="BH15" s="2">
        <v>12</v>
      </c>
      <c r="BI15" s="2" t="s">
        <v>36</v>
      </c>
      <c r="BJ15" s="2" t="s">
        <v>37</v>
      </c>
      <c r="BK15" s="3">
        <v>43637</v>
      </c>
      <c r="BM15" s="2"/>
    </row>
    <row r="16" spans="1:76" ht="18" x14ac:dyDescent="0.25">
      <c r="E16" s="2"/>
      <c r="F16" s="2"/>
      <c r="G16" s="2"/>
      <c r="H16" s="3"/>
      <c r="J16" s="2"/>
      <c r="K16" s="2" t="s">
        <v>18</v>
      </c>
      <c r="R16" s="2">
        <v>14</v>
      </c>
      <c r="S16" s="2" t="s">
        <v>18</v>
      </c>
      <c r="T16" s="2" t="b">
        <v>1</v>
      </c>
      <c r="U16" s="2" t="b">
        <v>0</v>
      </c>
      <c r="AR16" s="2">
        <v>13</v>
      </c>
      <c r="AS16" s="2">
        <v>5</v>
      </c>
      <c r="AT16" s="2">
        <v>13</v>
      </c>
      <c r="AU16" s="2" t="s">
        <v>11</v>
      </c>
      <c r="AV16" s="2">
        <v>7.22</v>
      </c>
      <c r="AW16" s="2">
        <v>1.74</v>
      </c>
      <c r="AX16" s="2">
        <v>150</v>
      </c>
      <c r="AY16" s="2">
        <v>20.6</v>
      </c>
      <c r="AZ16" s="2">
        <v>3.83</v>
      </c>
      <c r="BH16" s="2">
        <v>13</v>
      </c>
      <c r="BI16" s="2" t="s">
        <v>38</v>
      </c>
      <c r="BJ16" s="2" t="s">
        <v>39</v>
      </c>
      <c r="BK16" s="3">
        <v>45842</v>
      </c>
      <c r="BM16" s="2"/>
    </row>
    <row r="17" spans="5:65" ht="18" x14ac:dyDescent="0.25">
      <c r="E17" s="2"/>
      <c r="F17" s="2"/>
      <c r="G17" s="2"/>
      <c r="H17" s="3"/>
      <c r="J17" s="2"/>
      <c r="K17" s="2" t="s">
        <v>25</v>
      </c>
      <c r="R17" s="2">
        <v>15</v>
      </c>
      <c r="S17" s="2" t="s">
        <v>25</v>
      </c>
      <c r="T17" s="2" t="b">
        <v>0</v>
      </c>
      <c r="U17" s="2" t="b">
        <v>0</v>
      </c>
      <c r="AR17" s="2">
        <v>14</v>
      </c>
      <c r="AS17" s="2">
        <v>5</v>
      </c>
      <c r="AT17" s="2">
        <v>14</v>
      </c>
      <c r="AU17" s="2" t="s">
        <v>12</v>
      </c>
      <c r="AV17" s="2">
        <v>7.12</v>
      </c>
      <c r="AW17" s="2">
        <v>1.74</v>
      </c>
      <c r="AX17" s="2">
        <v>120</v>
      </c>
      <c r="AY17" s="2">
        <v>19.8</v>
      </c>
      <c r="AZ17" s="2">
        <v>1.88</v>
      </c>
      <c r="BH17" s="2">
        <v>14</v>
      </c>
      <c r="BI17" s="2" t="s">
        <v>38</v>
      </c>
      <c r="BJ17" s="2" t="s">
        <v>39</v>
      </c>
      <c r="BK17" s="3">
        <v>45842</v>
      </c>
      <c r="BM17" s="2"/>
    </row>
    <row r="18" spans="5:65" ht="18" x14ac:dyDescent="0.25">
      <c r="E18" s="2"/>
      <c r="F18" s="2"/>
      <c r="G18" s="2"/>
      <c r="H18" s="3"/>
      <c r="J18" s="2"/>
      <c r="K18" s="2" t="s">
        <v>25</v>
      </c>
      <c r="R18" s="2">
        <v>16</v>
      </c>
      <c r="S18" s="2" t="s">
        <v>25</v>
      </c>
      <c r="T18" s="2" t="b">
        <v>0</v>
      </c>
      <c r="U18" s="2" t="b">
        <v>1</v>
      </c>
      <c r="AR18" s="2">
        <v>15</v>
      </c>
      <c r="AS18" s="2">
        <v>5</v>
      </c>
      <c r="AT18" s="2">
        <v>15</v>
      </c>
      <c r="AU18" s="2" t="s">
        <v>13</v>
      </c>
      <c r="AV18" s="2">
        <v>7.31</v>
      </c>
      <c r="AW18" s="2">
        <v>1.1100000000000001</v>
      </c>
      <c r="AX18" s="2">
        <v>150</v>
      </c>
      <c r="AY18" s="2">
        <v>22.4</v>
      </c>
      <c r="AZ18" s="2">
        <v>0.98</v>
      </c>
      <c r="BH18" s="2">
        <v>15</v>
      </c>
      <c r="BI18" s="2" t="s">
        <v>36</v>
      </c>
      <c r="BJ18" s="2" t="s">
        <v>37</v>
      </c>
      <c r="BK18" s="3">
        <v>43637</v>
      </c>
      <c r="BM18" s="2"/>
    </row>
    <row r="19" spans="5:65" ht="18" x14ac:dyDescent="0.25">
      <c r="E19" s="2"/>
      <c r="F19" s="2"/>
      <c r="G19" s="2"/>
      <c r="H19" s="3"/>
      <c r="J19" s="2"/>
      <c r="K19" s="2" t="s">
        <v>29</v>
      </c>
      <c r="R19" s="2">
        <v>17</v>
      </c>
      <c r="S19" s="2" t="s">
        <v>29</v>
      </c>
      <c r="T19" s="2" t="b">
        <v>0</v>
      </c>
      <c r="U19" s="2" t="b">
        <v>1</v>
      </c>
      <c r="AR19" s="2">
        <v>16</v>
      </c>
      <c r="AS19" s="2">
        <v>6</v>
      </c>
      <c r="AT19" s="2">
        <v>16</v>
      </c>
      <c r="AU19" s="2" t="s">
        <v>11</v>
      </c>
      <c r="AV19" s="2">
        <v>7.01</v>
      </c>
      <c r="AW19" s="2">
        <v>5.88</v>
      </c>
      <c r="AX19" s="2">
        <v>25</v>
      </c>
      <c r="AY19" s="2">
        <v>19.2</v>
      </c>
      <c r="AZ19" s="2">
        <v>2.39</v>
      </c>
      <c r="BH19" s="2">
        <v>16</v>
      </c>
      <c r="BI19" s="2" t="s">
        <v>38</v>
      </c>
      <c r="BJ19" s="2" t="s">
        <v>39</v>
      </c>
      <c r="BK19" s="3">
        <v>45849</v>
      </c>
      <c r="BM19" s="2"/>
    </row>
    <row r="20" spans="5:65" ht="18" x14ac:dyDescent="0.25">
      <c r="E20" s="2"/>
      <c r="F20" s="2"/>
      <c r="G20" s="2"/>
      <c r="H20" s="3"/>
      <c r="J20" s="2"/>
      <c r="K20" s="2" t="s">
        <v>18</v>
      </c>
      <c r="R20" s="2">
        <v>18</v>
      </c>
      <c r="S20" s="2" t="s">
        <v>18</v>
      </c>
      <c r="T20" s="2" t="b">
        <v>0</v>
      </c>
      <c r="U20" s="2" t="b">
        <v>1</v>
      </c>
      <c r="AR20" s="2">
        <v>17</v>
      </c>
      <c r="AS20" s="2">
        <v>6</v>
      </c>
      <c r="AT20" s="2">
        <v>17</v>
      </c>
      <c r="AU20" s="2" t="s">
        <v>12</v>
      </c>
      <c r="AV20" s="2">
        <v>7.04</v>
      </c>
      <c r="AW20" s="2">
        <v>5.88</v>
      </c>
      <c r="AX20" s="2">
        <v>100</v>
      </c>
      <c r="AY20" s="2">
        <v>19.8</v>
      </c>
      <c r="AZ20" s="2">
        <v>1.04</v>
      </c>
      <c r="BC20" s="7" t="s">
        <v>95</v>
      </c>
      <c r="BH20" s="2">
        <v>17</v>
      </c>
      <c r="BI20" s="2" t="s">
        <v>38</v>
      </c>
      <c r="BJ20" s="2" t="s">
        <v>39</v>
      </c>
      <c r="BK20" s="3">
        <v>45849</v>
      </c>
      <c r="BM20" s="2"/>
    </row>
    <row r="21" spans="5:65" ht="18" x14ac:dyDescent="0.25">
      <c r="E21" s="2"/>
      <c r="F21" s="2"/>
      <c r="G21" s="2"/>
      <c r="H21" s="3"/>
      <c r="J21" s="2"/>
      <c r="K21" s="2" t="s">
        <v>18</v>
      </c>
      <c r="R21" s="2">
        <v>19</v>
      </c>
      <c r="S21" s="2" t="s">
        <v>18</v>
      </c>
      <c r="T21" s="2" t="b">
        <v>0</v>
      </c>
      <c r="U21" s="2" t="b">
        <v>1</v>
      </c>
      <c r="AR21" s="2">
        <v>18</v>
      </c>
      <c r="AS21" s="2">
        <v>6</v>
      </c>
      <c r="AT21" s="2">
        <v>18</v>
      </c>
      <c r="AU21" s="2" t="s">
        <v>13</v>
      </c>
      <c r="AV21" s="2">
        <v>6.99</v>
      </c>
      <c r="AW21" s="2">
        <v>4.78</v>
      </c>
      <c r="AX21" s="2">
        <v>50</v>
      </c>
      <c r="AY21" s="2">
        <v>18.100000000000001</v>
      </c>
      <c r="AZ21" s="2">
        <v>0.74</v>
      </c>
      <c r="BH21" s="2">
        <v>18</v>
      </c>
      <c r="BI21" s="2" t="s">
        <v>36</v>
      </c>
      <c r="BJ21" s="2" t="s">
        <v>37</v>
      </c>
      <c r="BK21" s="3">
        <v>42914</v>
      </c>
      <c r="BM21" s="2"/>
    </row>
    <row r="22" spans="5:65" ht="18" x14ac:dyDescent="0.25">
      <c r="E22" s="2"/>
      <c r="F22" s="2"/>
      <c r="G22" s="2"/>
      <c r="H22" s="3"/>
      <c r="J22" s="2"/>
      <c r="K22" s="2" t="s">
        <v>29</v>
      </c>
      <c r="R22" s="2">
        <v>20</v>
      </c>
      <c r="S22" s="2" t="s">
        <v>29</v>
      </c>
      <c r="T22" s="2" t="b">
        <v>0</v>
      </c>
      <c r="U22" s="2" t="b">
        <v>0</v>
      </c>
      <c r="AR22" s="2">
        <v>19</v>
      </c>
      <c r="AS22" s="2">
        <v>7</v>
      </c>
      <c r="AT22" s="2">
        <v>19</v>
      </c>
      <c r="AU22" s="2" t="s">
        <v>11</v>
      </c>
      <c r="AV22" s="2">
        <v>8.43</v>
      </c>
      <c r="AW22" s="2">
        <v>0.9</v>
      </c>
      <c r="AX22" s="2">
        <v>300</v>
      </c>
      <c r="AY22" s="2">
        <v>26.8</v>
      </c>
      <c r="AZ22" s="2">
        <v>9.7100000000000009</v>
      </c>
      <c r="BH22" s="2">
        <v>19</v>
      </c>
      <c r="BI22" s="2" t="s">
        <v>36</v>
      </c>
      <c r="BJ22" s="2" t="s">
        <v>37</v>
      </c>
      <c r="BK22" s="3">
        <v>42914</v>
      </c>
      <c r="BM22" s="2"/>
    </row>
    <row r="23" spans="5:65" ht="18" x14ac:dyDescent="0.25">
      <c r="E23" s="2"/>
      <c r="F23" s="2"/>
      <c r="G23" s="2"/>
      <c r="H23" s="3"/>
      <c r="J23" s="2"/>
      <c r="K23" s="2" t="s">
        <v>18</v>
      </c>
      <c r="R23" s="2">
        <v>21</v>
      </c>
      <c r="S23" s="2" t="s">
        <v>18</v>
      </c>
      <c r="T23" s="2" t="b">
        <v>1</v>
      </c>
      <c r="U23" s="2" t="b">
        <v>1</v>
      </c>
      <c r="AR23" s="2">
        <v>20</v>
      </c>
      <c r="AS23" s="2">
        <v>7</v>
      </c>
      <c r="AT23" s="2">
        <v>20</v>
      </c>
      <c r="AU23" s="2" t="s">
        <v>12</v>
      </c>
      <c r="AV23" s="2">
        <v>8.32</v>
      </c>
      <c r="AW23" s="2">
        <v>0.9</v>
      </c>
      <c r="AX23" s="2">
        <v>350</v>
      </c>
      <c r="AY23" s="2">
        <v>27.2</v>
      </c>
      <c r="AZ23" s="2">
        <v>6.59</v>
      </c>
      <c r="BH23" s="2">
        <v>20</v>
      </c>
      <c r="BI23" s="2" t="s">
        <v>36</v>
      </c>
      <c r="BJ23" s="2" t="s">
        <v>37</v>
      </c>
      <c r="BK23" s="3">
        <v>42914</v>
      </c>
      <c r="BM23" s="2"/>
    </row>
    <row r="24" spans="5:65" ht="18" x14ac:dyDescent="0.25">
      <c r="E24" s="2"/>
      <c r="F24" s="2"/>
      <c r="G24" s="2"/>
      <c r="H24" s="3"/>
      <c r="J24" s="2"/>
      <c r="K24" s="2" t="s">
        <v>25</v>
      </c>
      <c r="R24" s="2">
        <v>22</v>
      </c>
      <c r="S24" s="2" t="s">
        <v>25</v>
      </c>
      <c r="T24" s="2" t="b">
        <v>1</v>
      </c>
      <c r="U24" s="2" t="b">
        <v>1</v>
      </c>
      <c r="AR24" s="2">
        <v>21</v>
      </c>
      <c r="AS24" s="2">
        <v>7</v>
      </c>
      <c r="AT24" s="2">
        <v>21</v>
      </c>
      <c r="AU24" s="2" t="s">
        <v>13</v>
      </c>
      <c r="AV24" s="2">
        <v>8.1300000000000008</v>
      </c>
      <c r="AW24" s="2">
        <v>0.98</v>
      </c>
      <c r="AX24" s="2">
        <v>250</v>
      </c>
      <c r="AY24" s="2">
        <v>25.5</v>
      </c>
      <c r="AZ24" s="2">
        <v>3.53</v>
      </c>
      <c r="BH24" s="2">
        <v>21</v>
      </c>
      <c r="BI24" s="2" t="s">
        <v>36</v>
      </c>
      <c r="BJ24" s="2" t="s">
        <v>37</v>
      </c>
      <c r="BK24" s="3">
        <v>42914</v>
      </c>
      <c r="BM24" s="2"/>
    </row>
    <row r="25" spans="5:65" ht="18" x14ac:dyDescent="0.25">
      <c r="E25" s="2"/>
      <c r="F25" s="2"/>
      <c r="G25" s="2"/>
      <c r="H25" s="3"/>
      <c r="J25" s="2"/>
      <c r="K25" s="2" t="s">
        <v>18</v>
      </c>
      <c r="L25" s="7" t="s">
        <v>68</v>
      </c>
      <c r="R25" s="2">
        <v>23</v>
      </c>
      <c r="S25" s="2" t="s">
        <v>18</v>
      </c>
      <c r="T25" s="2" t="b">
        <v>0</v>
      </c>
      <c r="U25" s="2" t="b">
        <v>1</v>
      </c>
      <c r="AR25" s="2">
        <v>22</v>
      </c>
      <c r="AS25" s="2">
        <v>8</v>
      </c>
      <c r="AT25" s="2">
        <v>22</v>
      </c>
      <c r="AU25" s="2" t="s">
        <v>11</v>
      </c>
      <c r="AV25" s="2">
        <v>6.67</v>
      </c>
      <c r="AW25" s="2">
        <v>1.25</v>
      </c>
      <c r="AX25" s="2">
        <v>150</v>
      </c>
      <c r="AY25" s="2">
        <v>25.7</v>
      </c>
      <c r="AZ25" s="2">
        <v>7.45</v>
      </c>
      <c r="BH25" s="2">
        <v>22</v>
      </c>
      <c r="BI25" s="2" t="s">
        <v>38</v>
      </c>
      <c r="BJ25" s="2" t="s">
        <v>39</v>
      </c>
      <c r="BK25" s="3">
        <v>45851</v>
      </c>
      <c r="BM25" s="2"/>
    </row>
    <row r="26" spans="5:65" ht="18" x14ac:dyDescent="0.25">
      <c r="E26" s="2"/>
      <c r="F26" s="2"/>
      <c r="G26" s="2"/>
      <c r="H26" s="3"/>
      <c r="J26" s="2"/>
      <c r="K26" s="2" t="s">
        <v>18</v>
      </c>
      <c r="L26" s="7" t="s">
        <v>69</v>
      </c>
      <c r="R26" s="2">
        <v>24</v>
      </c>
      <c r="S26" s="2" t="s">
        <v>18</v>
      </c>
      <c r="T26" s="2" t="b">
        <v>0</v>
      </c>
      <c r="U26" s="2" t="b">
        <v>0</v>
      </c>
      <c r="AR26" s="2">
        <v>23</v>
      </c>
      <c r="AS26" s="2">
        <v>8</v>
      </c>
      <c r="AT26" s="2">
        <v>23</v>
      </c>
      <c r="AU26" s="2" t="s">
        <v>12</v>
      </c>
      <c r="AV26" s="2">
        <v>6.82</v>
      </c>
      <c r="AW26" s="2">
        <v>1.25</v>
      </c>
      <c r="AX26" s="2">
        <v>100</v>
      </c>
      <c r="AY26" s="2">
        <v>23.4</v>
      </c>
      <c r="AZ26" s="2">
        <v>9.43</v>
      </c>
      <c r="BH26" s="2">
        <v>23</v>
      </c>
      <c r="BI26" s="2" t="s">
        <v>38</v>
      </c>
      <c r="BJ26" s="2" t="s">
        <v>39</v>
      </c>
      <c r="BK26" s="3">
        <v>45851</v>
      </c>
      <c r="BM26" s="2"/>
    </row>
    <row r="27" spans="5:65" ht="18" x14ac:dyDescent="0.25">
      <c r="E27" s="2"/>
      <c r="F27" s="2"/>
      <c r="G27" s="2"/>
      <c r="H27" s="3"/>
      <c r="J27" s="2"/>
      <c r="K27" s="2" t="s">
        <v>18</v>
      </c>
      <c r="L27" s="7" t="s">
        <v>70</v>
      </c>
      <c r="R27" s="2">
        <v>25</v>
      </c>
      <c r="S27" s="2" t="s">
        <v>18</v>
      </c>
      <c r="T27" s="2" t="b">
        <v>0</v>
      </c>
      <c r="U27" s="2" t="b">
        <v>1</v>
      </c>
      <c r="AR27" s="2">
        <v>24</v>
      </c>
      <c r="AS27" s="2">
        <v>8</v>
      </c>
      <c r="AT27" s="2">
        <v>24</v>
      </c>
      <c r="AU27" s="2" t="s">
        <v>13</v>
      </c>
      <c r="AV27" s="2">
        <v>6.77</v>
      </c>
      <c r="AW27" s="2">
        <v>2.41</v>
      </c>
      <c r="AX27" s="2">
        <v>200</v>
      </c>
      <c r="AY27" s="2">
        <v>25.4</v>
      </c>
      <c r="AZ27" s="2">
        <v>3.84</v>
      </c>
      <c r="BH27" s="2">
        <v>24</v>
      </c>
      <c r="BI27" s="2" t="s">
        <v>36</v>
      </c>
      <c r="BJ27" s="2" t="s">
        <v>37</v>
      </c>
      <c r="BK27" s="3">
        <v>42914</v>
      </c>
      <c r="BM27" s="2"/>
    </row>
    <row r="28" spans="5:65" ht="18" x14ac:dyDescent="0.25">
      <c r="E28" s="2"/>
      <c r="F28" s="2"/>
      <c r="G28" s="2"/>
      <c r="H28" s="3"/>
      <c r="J28" s="2"/>
      <c r="K28" s="2" t="s">
        <v>29</v>
      </c>
      <c r="R28" s="2">
        <v>26</v>
      </c>
      <c r="S28" s="2" t="s">
        <v>29</v>
      </c>
      <c r="T28" s="2" t="b">
        <v>0</v>
      </c>
      <c r="U28" s="2" t="b">
        <v>0</v>
      </c>
      <c r="AR28" s="2">
        <v>25</v>
      </c>
      <c r="AS28" s="2">
        <v>9</v>
      </c>
      <c r="AT28" s="2">
        <v>25</v>
      </c>
      <c r="AU28" s="2" t="s">
        <v>11</v>
      </c>
      <c r="AV28" s="2">
        <v>7.14</v>
      </c>
      <c r="AW28" s="2">
        <v>3.43</v>
      </c>
      <c r="AX28" s="2">
        <v>50</v>
      </c>
      <c r="AY28" s="2">
        <v>19.2</v>
      </c>
      <c r="AZ28" s="2">
        <v>3.98</v>
      </c>
      <c r="BH28" s="2">
        <v>25</v>
      </c>
      <c r="BI28" s="2" t="s">
        <v>38</v>
      </c>
      <c r="BJ28" s="2" t="s">
        <v>39</v>
      </c>
      <c r="BK28" s="3">
        <v>45858</v>
      </c>
      <c r="BM28" s="2"/>
    </row>
    <row r="29" spans="5:65" ht="18" x14ac:dyDescent="0.25">
      <c r="E29" s="2"/>
      <c r="F29" s="2"/>
      <c r="G29" s="2"/>
      <c r="H29" s="3"/>
      <c r="J29" s="2"/>
      <c r="K29" s="2" t="s">
        <v>29</v>
      </c>
      <c r="R29" s="2">
        <v>27</v>
      </c>
      <c r="S29" s="2" t="s">
        <v>29</v>
      </c>
      <c r="T29" s="2" t="b">
        <v>1</v>
      </c>
      <c r="U29" s="2" t="b">
        <v>0</v>
      </c>
      <c r="AR29" s="2">
        <v>26</v>
      </c>
      <c r="AS29" s="2">
        <v>9</v>
      </c>
      <c r="AT29" s="2">
        <v>26</v>
      </c>
      <c r="AU29" s="2" t="s">
        <v>12</v>
      </c>
      <c r="AV29" s="2">
        <v>7.02</v>
      </c>
      <c r="AW29" s="2">
        <v>3.43</v>
      </c>
      <c r="AX29" s="2">
        <v>25</v>
      </c>
      <c r="AY29" s="2">
        <v>22.3</v>
      </c>
      <c r="AZ29" s="2">
        <v>1.04</v>
      </c>
      <c r="BH29" s="2">
        <v>26</v>
      </c>
      <c r="BI29" s="2" t="s">
        <v>38</v>
      </c>
      <c r="BJ29" s="2" t="s">
        <v>39</v>
      </c>
      <c r="BK29" s="3">
        <v>45858</v>
      </c>
      <c r="BM29" s="2"/>
    </row>
    <row r="30" spans="5:65" ht="18" x14ac:dyDescent="0.25">
      <c r="E30" s="2"/>
      <c r="F30" s="2"/>
      <c r="G30" s="2"/>
      <c r="H30" s="3"/>
      <c r="J30" s="2"/>
      <c r="K30" s="2" t="s">
        <v>29</v>
      </c>
      <c r="R30" s="2">
        <v>28</v>
      </c>
      <c r="S30" s="2" t="s">
        <v>29</v>
      </c>
      <c r="T30" s="2" t="b">
        <v>0</v>
      </c>
      <c r="U30" s="2" t="b">
        <v>1</v>
      </c>
      <c r="AR30" s="2">
        <v>27</v>
      </c>
      <c r="AS30" s="2">
        <v>9</v>
      </c>
      <c r="AT30" s="2">
        <v>27</v>
      </c>
      <c r="AU30" s="2" t="s">
        <v>13</v>
      </c>
      <c r="AV30" s="2">
        <v>7.08</v>
      </c>
      <c r="AW30" s="2">
        <v>3.02</v>
      </c>
      <c r="AX30" s="2">
        <v>10</v>
      </c>
      <c r="AY30" s="2">
        <v>19.5</v>
      </c>
      <c r="AZ30" s="2">
        <v>0.43</v>
      </c>
      <c r="BH30" s="2">
        <v>27</v>
      </c>
      <c r="BI30" s="2" t="s">
        <v>36</v>
      </c>
      <c r="BJ30" s="2" t="s">
        <v>37</v>
      </c>
      <c r="BK30" s="3">
        <v>42914</v>
      </c>
      <c r="BM30" s="2"/>
    </row>
    <row r="31" spans="5:65" ht="18" x14ac:dyDescent="0.25">
      <c r="E31" s="2"/>
      <c r="F31" s="2"/>
      <c r="G31" s="2"/>
      <c r="H31" s="3"/>
      <c r="J31" s="2"/>
      <c r="K31" s="2" t="s">
        <v>18</v>
      </c>
      <c r="R31" s="2">
        <v>29</v>
      </c>
      <c r="S31" s="2" t="s">
        <v>18</v>
      </c>
      <c r="T31" s="2" t="b">
        <v>1</v>
      </c>
      <c r="U31" s="2" t="b">
        <v>1</v>
      </c>
      <c r="AR31" s="2">
        <v>28</v>
      </c>
      <c r="AS31" s="2">
        <v>10</v>
      </c>
      <c r="AT31" s="2">
        <v>28</v>
      </c>
      <c r="AU31" s="2" t="s">
        <v>11</v>
      </c>
      <c r="AV31" s="2">
        <v>7.99</v>
      </c>
      <c r="AW31" s="2">
        <v>3.17</v>
      </c>
      <c r="AX31" s="2">
        <v>25</v>
      </c>
      <c r="AY31" s="2">
        <v>18.899999999999999</v>
      </c>
      <c r="AZ31" s="2">
        <v>4.53</v>
      </c>
      <c r="BH31" s="2">
        <v>28</v>
      </c>
      <c r="BI31" s="2" t="s">
        <v>38</v>
      </c>
      <c r="BJ31" s="2" t="s">
        <v>39</v>
      </c>
      <c r="BK31" s="3">
        <v>45861</v>
      </c>
      <c r="BM31" s="2"/>
    </row>
    <row r="32" spans="5:65" ht="18" x14ac:dyDescent="0.25">
      <c r="E32" s="2"/>
      <c r="F32" s="2"/>
      <c r="G32" s="2"/>
      <c r="H32" s="3"/>
      <c r="J32" s="2"/>
      <c r="K32" s="2" t="s">
        <v>25</v>
      </c>
      <c r="R32" s="2">
        <v>30</v>
      </c>
      <c r="S32" s="2" t="s">
        <v>25</v>
      </c>
      <c r="T32" s="2" t="b">
        <v>1</v>
      </c>
      <c r="U32" s="2" t="b">
        <v>1</v>
      </c>
      <c r="AR32" s="2">
        <v>29</v>
      </c>
      <c r="AS32" s="2">
        <v>10</v>
      </c>
      <c r="AT32" s="2">
        <v>29</v>
      </c>
      <c r="AU32" s="2" t="s">
        <v>12</v>
      </c>
      <c r="AV32" s="2">
        <v>7.19</v>
      </c>
      <c r="AW32" s="2">
        <v>3.17</v>
      </c>
      <c r="AX32" s="2">
        <v>50</v>
      </c>
      <c r="AY32" s="2">
        <v>16.7</v>
      </c>
      <c r="AZ32" s="2">
        <v>4.12</v>
      </c>
      <c r="BH32" s="2">
        <v>29</v>
      </c>
      <c r="BI32" s="2" t="s">
        <v>38</v>
      </c>
      <c r="BJ32" s="2" t="s">
        <v>39</v>
      </c>
      <c r="BK32" s="3">
        <v>45861</v>
      </c>
      <c r="BM32" s="2"/>
    </row>
    <row r="33" spans="1:65" ht="18" x14ac:dyDescent="0.25">
      <c r="E33" s="2"/>
      <c r="F33" s="2"/>
      <c r="G33" s="2"/>
      <c r="H33" s="3"/>
      <c r="J33" s="2"/>
      <c r="K33" s="2" t="s">
        <v>18</v>
      </c>
      <c r="R33" s="2">
        <v>31</v>
      </c>
      <c r="S33" s="2" t="s">
        <v>18</v>
      </c>
      <c r="T33" s="2" t="b">
        <v>0</v>
      </c>
      <c r="U33" s="2" t="b">
        <v>1</v>
      </c>
      <c r="AR33" s="2">
        <v>30</v>
      </c>
      <c r="AS33" s="2">
        <v>10</v>
      </c>
      <c r="AT33" s="2">
        <v>30</v>
      </c>
      <c r="AU33" s="2" t="s">
        <v>13</v>
      </c>
      <c r="AV33" s="2">
        <v>7.02</v>
      </c>
      <c r="AW33" s="2">
        <v>3.82</v>
      </c>
      <c r="AX33" s="2">
        <v>25</v>
      </c>
      <c r="AY33" s="2">
        <v>19.7</v>
      </c>
      <c r="AZ33" s="2">
        <v>3.98</v>
      </c>
      <c r="BH33" s="2">
        <v>30</v>
      </c>
      <c r="BI33" s="2" t="s">
        <v>36</v>
      </c>
      <c r="BJ33" s="2" t="s">
        <v>37</v>
      </c>
      <c r="BK33" s="3">
        <v>42914</v>
      </c>
      <c r="BM33" s="2"/>
    </row>
    <row r="34" spans="1:65" ht="18" x14ac:dyDescent="0.25">
      <c r="E34" s="2"/>
      <c r="F34" s="2"/>
      <c r="G34" s="2"/>
      <c r="H34" s="3"/>
      <c r="J34" s="2"/>
      <c r="K34" s="2" t="s">
        <v>18</v>
      </c>
      <c r="R34" s="2">
        <v>32</v>
      </c>
      <c r="S34" s="2" t="s">
        <v>18</v>
      </c>
      <c r="T34" s="2" t="b">
        <v>1</v>
      </c>
      <c r="U34" s="2" t="b">
        <v>1</v>
      </c>
      <c r="AR34" s="2">
        <v>31</v>
      </c>
      <c r="AS34" s="2">
        <v>11</v>
      </c>
      <c r="AT34" s="2">
        <v>31</v>
      </c>
      <c r="AU34" s="2" t="s">
        <v>11</v>
      </c>
      <c r="AV34" s="2">
        <v>6.47</v>
      </c>
      <c r="AW34" s="2">
        <v>0.9</v>
      </c>
      <c r="AX34" s="2">
        <v>650</v>
      </c>
      <c r="AY34" s="2">
        <v>23.3</v>
      </c>
      <c r="AZ34" s="2">
        <v>7.62</v>
      </c>
      <c r="BH34" s="2">
        <v>31</v>
      </c>
      <c r="BI34" s="2" t="s">
        <v>38</v>
      </c>
      <c r="BJ34" s="2" t="s">
        <v>39</v>
      </c>
      <c r="BK34" s="3">
        <v>45861</v>
      </c>
      <c r="BM34" s="2"/>
    </row>
    <row r="35" spans="1:65" ht="18" x14ac:dyDescent="0.25">
      <c r="E35" s="2"/>
      <c r="F35" s="2"/>
      <c r="G35" s="2"/>
      <c r="H35" s="3"/>
      <c r="J35" s="2"/>
      <c r="K35" s="2" t="s">
        <v>18</v>
      </c>
      <c r="R35" s="2">
        <v>33</v>
      </c>
      <c r="S35" s="2" t="s">
        <v>18</v>
      </c>
      <c r="T35" s="2" t="b">
        <v>0</v>
      </c>
      <c r="U35" s="2" t="b">
        <v>0</v>
      </c>
      <c r="AR35" s="2">
        <v>32</v>
      </c>
      <c r="AS35" s="2">
        <v>11</v>
      </c>
      <c r="AT35" s="2">
        <v>32</v>
      </c>
      <c r="AU35" s="2" t="s">
        <v>12</v>
      </c>
      <c r="AV35" s="2">
        <v>6.39</v>
      </c>
      <c r="AW35" s="2">
        <v>0.9</v>
      </c>
      <c r="AX35" s="2">
        <v>550</v>
      </c>
      <c r="AY35" s="2">
        <v>24.4</v>
      </c>
      <c r="AZ35" s="2">
        <v>5.56</v>
      </c>
      <c r="BH35" s="2">
        <v>32</v>
      </c>
      <c r="BI35" s="2" t="s">
        <v>38</v>
      </c>
      <c r="BJ35" s="2" t="s">
        <v>39</v>
      </c>
      <c r="BK35" s="3">
        <v>45861</v>
      </c>
      <c r="BM35" s="2"/>
    </row>
    <row r="36" spans="1:65" ht="18" x14ac:dyDescent="0.25">
      <c r="E36" s="2"/>
      <c r="F36" s="2"/>
      <c r="G36" s="2"/>
      <c r="H36" s="3"/>
      <c r="J36" s="2"/>
      <c r="K36" s="2" t="s">
        <v>18</v>
      </c>
      <c r="R36" s="2">
        <v>34</v>
      </c>
      <c r="S36" s="2" t="s">
        <v>18</v>
      </c>
      <c r="T36" s="2" t="b">
        <v>1</v>
      </c>
      <c r="U36" s="2" t="b">
        <v>1</v>
      </c>
      <c r="AR36" s="2">
        <v>33</v>
      </c>
      <c r="AS36" s="2">
        <v>11</v>
      </c>
      <c r="AT36" s="2">
        <v>33</v>
      </c>
      <c r="AU36" s="2" t="s">
        <v>13</v>
      </c>
      <c r="AV36" s="2">
        <v>6.76</v>
      </c>
      <c r="AW36" s="2">
        <v>0.69</v>
      </c>
      <c r="AX36" s="2">
        <v>400</v>
      </c>
      <c r="AY36" s="2">
        <v>21.7</v>
      </c>
      <c r="AZ36" s="2">
        <v>1.02</v>
      </c>
      <c r="BH36" s="2">
        <v>33</v>
      </c>
      <c r="BI36" s="2" t="s">
        <v>36</v>
      </c>
      <c r="BJ36" s="2" t="s">
        <v>37</v>
      </c>
      <c r="BK36" s="3">
        <v>42914</v>
      </c>
      <c r="BM36" s="2"/>
    </row>
    <row r="37" spans="1:65" ht="18" x14ac:dyDescent="0.25">
      <c r="J37" s="2"/>
      <c r="K37" s="2" t="s">
        <v>18</v>
      </c>
      <c r="R37" s="2">
        <v>35</v>
      </c>
      <c r="S37" s="2" t="s">
        <v>18</v>
      </c>
      <c r="T37" s="2" t="b">
        <v>1</v>
      </c>
      <c r="U37" s="2" t="b">
        <v>1</v>
      </c>
      <c r="AW37" s="7" t="s">
        <v>84</v>
      </c>
      <c r="BM37" s="2"/>
    </row>
    <row r="38" spans="1:65" ht="18" x14ac:dyDescent="0.25">
      <c r="J38" s="2"/>
      <c r="K38" s="2" t="s">
        <v>29</v>
      </c>
      <c r="R38" s="2">
        <v>36</v>
      </c>
      <c r="S38" s="2" t="s">
        <v>29</v>
      </c>
      <c r="T38" s="2" t="b">
        <v>0</v>
      </c>
      <c r="U38" s="2" t="b">
        <v>0</v>
      </c>
      <c r="AT38" t="s">
        <v>88</v>
      </c>
      <c r="AU38" s="2" t="s">
        <v>85</v>
      </c>
      <c r="AV38" s="7">
        <f>CORREL(AZ4:AZ36,AW4:AW36)</f>
        <v>-0.23428439926655945</v>
      </c>
      <c r="AW38" t="s">
        <v>77</v>
      </c>
      <c r="BM38" s="2"/>
    </row>
    <row r="39" spans="1:65" ht="18" x14ac:dyDescent="0.25">
      <c r="J39" s="2"/>
      <c r="K39" s="2" t="s">
        <v>25</v>
      </c>
      <c r="R39" s="2">
        <v>37</v>
      </c>
      <c r="S39" s="2" t="s">
        <v>25</v>
      </c>
      <c r="T39" s="2" t="b">
        <v>1</v>
      </c>
      <c r="U39" s="2" t="b">
        <v>1</v>
      </c>
      <c r="AT39" t="s">
        <v>89</v>
      </c>
      <c r="AU39" s="2" t="s">
        <v>86</v>
      </c>
      <c r="AV39" s="7">
        <f>CORREL(AZ4:AZ36,AY4:AY36)</f>
        <v>0.30859853041431035</v>
      </c>
      <c r="BM39" s="2"/>
    </row>
    <row r="40" spans="1:65" ht="18" x14ac:dyDescent="0.25">
      <c r="A40" s="1"/>
      <c r="B40" s="1"/>
      <c r="C40" s="1"/>
      <c r="D40" s="1"/>
      <c r="E40" s="1"/>
      <c r="F40" s="1"/>
      <c r="J40" s="2"/>
      <c r="K40" s="2" t="s">
        <v>25</v>
      </c>
      <c r="R40" s="2">
        <v>38</v>
      </c>
      <c r="S40" s="2" t="s">
        <v>25</v>
      </c>
      <c r="T40" s="2" t="b">
        <v>0</v>
      </c>
      <c r="U40" s="2" t="b">
        <v>0</v>
      </c>
      <c r="AT40" t="s">
        <v>90</v>
      </c>
      <c r="AU40" s="2" t="s">
        <v>87</v>
      </c>
      <c r="AV40" s="7">
        <f>CORREL(AZ4:AZ36,AX4:AX36)</f>
        <v>0.40730646594712683</v>
      </c>
      <c r="BD40" s="1" t="s">
        <v>15</v>
      </c>
      <c r="BE40" s="1" t="s">
        <v>4</v>
      </c>
      <c r="BF40" s="1" t="s">
        <v>7</v>
      </c>
      <c r="BG40" s="1" t="s">
        <v>8</v>
      </c>
      <c r="BH40" s="1" t="s">
        <v>9</v>
      </c>
      <c r="BI40" s="1" t="s">
        <v>6</v>
      </c>
      <c r="BM40" s="2"/>
    </row>
    <row r="41" spans="1:65" ht="1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">
        <v>18</v>
      </c>
      <c r="R41" s="2">
        <v>39</v>
      </c>
      <c r="S41" s="2" t="s">
        <v>18</v>
      </c>
      <c r="T41" s="2" t="b">
        <v>1</v>
      </c>
      <c r="U41" s="2" t="b">
        <v>1</v>
      </c>
      <c r="AT41" t="s">
        <v>91</v>
      </c>
      <c r="AU41" s="2" t="s">
        <v>85</v>
      </c>
      <c r="AV41" s="7">
        <f>CORREL(AZ4:AZ36,AV4:AV36)</f>
        <v>0.14571763096882925</v>
      </c>
      <c r="BD41" s="2" t="s">
        <v>17</v>
      </c>
      <c r="BE41" s="2" t="s">
        <v>11</v>
      </c>
      <c r="BF41" s="2">
        <v>10</v>
      </c>
      <c r="BG41" s="2">
        <v>27</v>
      </c>
      <c r="BH41" s="2">
        <v>2.11</v>
      </c>
      <c r="BI41" s="2">
        <v>0.31</v>
      </c>
      <c r="BJ41" s="2"/>
      <c r="BK41" s="2"/>
      <c r="BL41" s="2"/>
      <c r="BM41" s="2"/>
    </row>
    <row r="42" spans="1:65" ht="1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18</v>
      </c>
      <c r="R42" s="2">
        <v>40</v>
      </c>
      <c r="S42" s="2" t="s">
        <v>18</v>
      </c>
      <c r="T42" s="2" t="b">
        <v>0</v>
      </c>
      <c r="U42" s="2" t="b">
        <v>1</v>
      </c>
      <c r="AT42" t="s">
        <v>92</v>
      </c>
      <c r="AU42" s="2" t="s">
        <v>87</v>
      </c>
      <c r="AV42" s="7">
        <f>CORREL(AW4:AW36,AX4:AX36)</f>
        <v>-0.47922445470085356</v>
      </c>
      <c r="BD42" s="2" t="s">
        <v>17</v>
      </c>
      <c r="BE42" s="2" t="s">
        <v>12</v>
      </c>
      <c r="BF42" s="2">
        <v>25</v>
      </c>
      <c r="BG42" s="2">
        <v>25.5</v>
      </c>
      <c r="BH42" s="2">
        <v>1.4</v>
      </c>
      <c r="BI42" s="2">
        <v>0.31</v>
      </c>
      <c r="BJ42" s="2"/>
      <c r="BK42" s="2"/>
      <c r="BL42" s="2"/>
      <c r="BM42" s="2"/>
    </row>
    <row r="43" spans="1:65" ht="1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">
        <v>29</v>
      </c>
      <c r="R43" s="2">
        <v>41</v>
      </c>
      <c r="S43" s="2" t="s">
        <v>29</v>
      </c>
      <c r="T43" s="2" t="b">
        <v>1</v>
      </c>
      <c r="U43" s="2" t="b">
        <v>1</v>
      </c>
      <c r="AT43" t="s">
        <v>93</v>
      </c>
      <c r="AU43" s="2" t="s">
        <v>85</v>
      </c>
      <c r="AV43" s="7">
        <f>CORREL(AW4:AW36,AV4:AV36)</f>
        <v>-0.16734739793844342</v>
      </c>
      <c r="BD43" s="2" t="s">
        <v>17</v>
      </c>
      <c r="BE43" s="2" t="s">
        <v>13</v>
      </c>
      <c r="BF43" s="2">
        <v>50</v>
      </c>
      <c r="BG43" s="2">
        <v>26.1</v>
      </c>
      <c r="BH43" s="2">
        <v>0.2</v>
      </c>
      <c r="BI43" s="2">
        <v>0.78</v>
      </c>
      <c r="BJ43" s="2"/>
      <c r="BK43" s="2"/>
      <c r="BL43" s="2"/>
      <c r="BM43" s="2"/>
    </row>
    <row r="44" spans="1:65" ht="18" x14ac:dyDescent="0.25">
      <c r="J44" s="2"/>
      <c r="AT44" t="s">
        <v>94</v>
      </c>
      <c r="AU44" s="2" t="s">
        <v>87</v>
      </c>
      <c r="AV44" s="7">
        <f>CORREL(AW4:AW36,AY4:AY36)</f>
        <v>-0.56322832745968943</v>
      </c>
      <c r="BF44" s="7">
        <f>AVERAGE(BF41:BF43)</f>
        <v>28.333333333333332</v>
      </c>
      <c r="BG44" s="7">
        <f>AVERAGE(BG41:BG43)</f>
        <v>26.2</v>
      </c>
      <c r="BH44" s="7"/>
      <c r="BI44" s="7">
        <f>AVERAGE(BI41:BI43)</f>
        <v>0.46666666666666662</v>
      </c>
      <c r="BM44" s="2"/>
    </row>
    <row r="45" spans="1:65" x14ac:dyDescent="0.2">
      <c r="AV45" s="7"/>
      <c r="BF45" s="7" t="s">
        <v>74</v>
      </c>
    </row>
    <row r="46" spans="1:65" ht="18" x14ac:dyDescent="0.25">
      <c r="A46" s="1"/>
      <c r="B46" s="1"/>
      <c r="C46" s="1"/>
      <c r="D46" s="1"/>
      <c r="E46" s="1"/>
      <c r="F46" s="1"/>
      <c r="G46" s="2"/>
      <c r="H46" s="2"/>
      <c r="I46" s="2"/>
      <c r="AT46" t="s">
        <v>97</v>
      </c>
      <c r="AW46" s="7" t="s">
        <v>99</v>
      </c>
      <c r="BD46" s="1" t="s">
        <v>15</v>
      </c>
      <c r="BE46" s="1" t="s">
        <v>4</v>
      </c>
      <c r="BF46" s="1" t="s">
        <v>7</v>
      </c>
      <c r="BG46" s="1" t="s">
        <v>8</v>
      </c>
      <c r="BH46" s="1" t="s">
        <v>9</v>
      </c>
      <c r="BI46" s="1" t="s">
        <v>6</v>
      </c>
      <c r="BJ46" s="1">
        <v>0.31</v>
      </c>
      <c r="BK46" s="1">
        <v>0.9</v>
      </c>
      <c r="BL46" s="1">
        <v>5.88</v>
      </c>
      <c r="BM46" s="7" t="s">
        <v>80</v>
      </c>
    </row>
    <row r="47" spans="1:65" ht="18" x14ac:dyDescent="0.25">
      <c r="A47" s="2"/>
      <c r="B47" s="2"/>
      <c r="E47" s="2"/>
      <c r="G47" s="2"/>
      <c r="H47" s="2"/>
      <c r="I47" s="2"/>
      <c r="S47" s="7" t="s">
        <v>63</v>
      </c>
      <c r="AT47" t="s">
        <v>88</v>
      </c>
      <c r="AU47" s="2" t="s">
        <v>98</v>
      </c>
      <c r="AV47">
        <f>CORREL(BX4:BX14,BU4:BU14)</f>
        <v>9.5579736675124927E-2</v>
      </c>
      <c r="AW47" s="7" t="s">
        <v>100</v>
      </c>
      <c r="BD47" s="2" t="s">
        <v>17</v>
      </c>
      <c r="BE47" s="2" t="s">
        <v>11</v>
      </c>
      <c r="BF47">
        <f t="shared" ref="BF47:BF49" si="0">AVERAGE(BF44:BF46)</f>
        <v>28.333333333333332</v>
      </c>
      <c r="BG47">
        <f t="shared" ref="BG47:BG49" si="1">AVERAGE(BG44:BG46)</f>
        <v>26.2</v>
      </c>
      <c r="BH47" s="2">
        <v>2.11</v>
      </c>
      <c r="BI47">
        <f t="shared" ref="BI47:BI49" si="2">AVERAGE(BI44:BI46)</f>
        <v>0.46666666666666662</v>
      </c>
      <c r="BJ47" s="1">
        <v>0.31</v>
      </c>
      <c r="BK47" s="1">
        <v>0.9</v>
      </c>
      <c r="BL47" s="1">
        <v>5.88</v>
      </c>
    </row>
    <row r="48" spans="1:65" ht="18" x14ac:dyDescent="0.25">
      <c r="A48" s="2"/>
      <c r="B48" s="2"/>
      <c r="E48" s="2"/>
      <c r="G48" s="2"/>
      <c r="H48" s="2"/>
      <c r="I48" s="2"/>
      <c r="S48" s="7" t="s">
        <v>65</v>
      </c>
      <c r="AT48" t="s">
        <v>89</v>
      </c>
      <c r="AU48" s="2" t="s">
        <v>85</v>
      </c>
      <c r="AV48">
        <f>CORREL(BX4:BX14,BW4:BW14)</f>
        <v>0.24288489975869293</v>
      </c>
      <c r="AW48" s="7" t="s">
        <v>101</v>
      </c>
      <c r="BD48" s="2" t="s">
        <v>17</v>
      </c>
      <c r="BE48" s="2" t="s">
        <v>12</v>
      </c>
      <c r="BF48">
        <f t="shared" si="0"/>
        <v>28.333333333333332</v>
      </c>
      <c r="BG48">
        <f t="shared" si="1"/>
        <v>26.2</v>
      </c>
      <c r="BH48" s="2">
        <v>1.4</v>
      </c>
      <c r="BI48">
        <f t="shared" si="2"/>
        <v>0.46666666666666662</v>
      </c>
      <c r="BJ48" s="1">
        <v>0.78</v>
      </c>
      <c r="BK48" s="1">
        <v>0.98</v>
      </c>
      <c r="BL48" s="1">
        <v>4.78</v>
      </c>
    </row>
    <row r="49" spans="1:65" ht="18" x14ac:dyDescent="0.25">
      <c r="A49" s="2"/>
      <c r="B49" s="2"/>
      <c r="E49" s="2"/>
      <c r="AT49" t="s">
        <v>90</v>
      </c>
      <c r="AU49" s="2" t="s">
        <v>85</v>
      </c>
      <c r="AV49">
        <f>CORREL(BX4:BX14,BV4:BV14)</f>
        <v>0.15153380651409901</v>
      </c>
      <c r="AW49" s="7" t="s">
        <v>102</v>
      </c>
      <c r="BD49" s="2" t="s">
        <v>17</v>
      </c>
      <c r="BE49" s="2" t="s">
        <v>13</v>
      </c>
      <c r="BF49">
        <f t="shared" si="0"/>
        <v>28.333333333333332</v>
      </c>
      <c r="BG49">
        <f t="shared" si="1"/>
        <v>26.2</v>
      </c>
      <c r="BH49" s="2">
        <v>0.2</v>
      </c>
      <c r="BI49">
        <f t="shared" si="2"/>
        <v>0.46666666666666662</v>
      </c>
      <c r="BJ49" s="8">
        <v>0.46700000000000003</v>
      </c>
      <c r="BK49" s="8">
        <f>AVERAGE(BK46:BK48)</f>
        <v>0.92666666666666675</v>
      </c>
      <c r="BL49" s="8">
        <f>AVERAGE(BL46:BL48)</f>
        <v>5.5133333333333328</v>
      </c>
    </row>
    <row r="50" spans="1:65" ht="18" x14ac:dyDescent="0.25">
      <c r="AT50" t="s">
        <v>91</v>
      </c>
      <c r="AU50" s="2" t="s">
        <v>85</v>
      </c>
      <c r="AV50">
        <f>CORREL(BX4:BX14,BT4:BT14)</f>
        <v>0.13057748598524821</v>
      </c>
    </row>
    <row r="51" spans="1:65" ht="18" x14ac:dyDescent="0.25">
      <c r="T51" s="7" t="s">
        <v>64</v>
      </c>
      <c r="AT51" t="s">
        <v>92</v>
      </c>
      <c r="AU51" s="2" t="s">
        <v>87</v>
      </c>
      <c r="AV51">
        <f>CORREL(BU4:BU14,BV4:BV14)</f>
        <v>-0.56451705698517718</v>
      </c>
    </row>
    <row r="52" spans="1:65" ht="18" x14ac:dyDescent="0.25">
      <c r="A52" s="1"/>
      <c r="B52" s="1"/>
      <c r="C52" s="1"/>
      <c r="D52" s="1"/>
      <c r="E52" s="1"/>
      <c r="G52" s="1"/>
      <c r="I52" s="1"/>
      <c r="AT52" t="s">
        <v>93</v>
      </c>
      <c r="AU52" s="2" t="s">
        <v>87</v>
      </c>
      <c r="AV52">
        <f>CORREL(BU4:BU14,BT4:BT14)</f>
        <v>-0.43243309359089127</v>
      </c>
      <c r="BD52" s="1" t="s">
        <v>15</v>
      </c>
      <c r="BE52" s="1" t="s">
        <v>4</v>
      </c>
      <c r="BF52" s="1" t="s">
        <v>9</v>
      </c>
      <c r="BG52" s="1" t="s">
        <v>6</v>
      </c>
      <c r="BH52" s="1"/>
      <c r="BJ52" s="1" t="s">
        <v>15</v>
      </c>
      <c r="BL52" s="1" t="s">
        <v>6</v>
      </c>
    </row>
    <row r="53" spans="1:65" ht="18" x14ac:dyDescent="0.25">
      <c r="A53" s="2"/>
      <c r="B53" s="2"/>
      <c r="C53" s="2"/>
      <c r="E53" s="2"/>
      <c r="G53" s="2"/>
      <c r="AT53" t="s">
        <v>94</v>
      </c>
      <c r="AU53" s="2" t="s">
        <v>87</v>
      </c>
      <c r="AV53">
        <f>CORREL(BU4:BU14,BW4:BW14)</f>
        <v>-0.43578290317392293</v>
      </c>
      <c r="BD53" s="2" t="s">
        <v>17</v>
      </c>
      <c r="BE53" s="2" t="s">
        <v>11</v>
      </c>
      <c r="BF53" s="2">
        <v>2.11</v>
      </c>
      <c r="BG53">
        <v>0.46700000000000003</v>
      </c>
      <c r="BH53" s="2"/>
      <c r="BJ53" s="2" t="s">
        <v>17</v>
      </c>
      <c r="BL53">
        <v>0.46700000000000003</v>
      </c>
    </row>
    <row r="54" spans="1:65" ht="18" x14ac:dyDescent="0.25">
      <c r="A54" s="2"/>
      <c r="B54" s="2"/>
      <c r="C54" s="2"/>
      <c r="E54" s="2"/>
      <c r="G54" s="2"/>
      <c r="BD54" s="2" t="s">
        <v>17</v>
      </c>
      <c r="BE54" s="2" t="s">
        <v>12</v>
      </c>
      <c r="BF54" s="2">
        <v>1.4</v>
      </c>
      <c r="BG54">
        <v>0.46700000000000003</v>
      </c>
      <c r="BH54" s="2"/>
      <c r="BJ54" s="2" t="s">
        <v>24</v>
      </c>
      <c r="BL54">
        <v>0.92700000000000005</v>
      </c>
    </row>
    <row r="55" spans="1:65" ht="18" x14ac:dyDescent="0.25">
      <c r="A55" s="2"/>
      <c r="B55" s="2"/>
      <c r="C55" s="2"/>
      <c r="E55" s="2"/>
      <c r="G55" s="2"/>
      <c r="BD55" s="2" t="s">
        <v>17</v>
      </c>
      <c r="BE55" s="2" t="s">
        <v>13</v>
      </c>
      <c r="BF55" s="2">
        <v>0.2</v>
      </c>
      <c r="BG55">
        <v>0.46700000000000003</v>
      </c>
      <c r="BH55" s="2"/>
      <c r="BJ55" s="2" t="s">
        <v>23</v>
      </c>
      <c r="BL55">
        <v>5.5129999999999999</v>
      </c>
      <c r="BM55" t="s">
        <v>81</v>
      </c>
    </row>
    <row r="66" spans="7:74" x14ac:dyDescent="0.2">
      <c r="BR66" s="7"/>
      <c r="BS66" s="7" t="s">
        <v>108</v>
      </c>
      <c r="BT66" s="7"/>
      <c r="BU66" s="7"/>
      <c r="BV66" s="7"/>
    </row>
    <row r="67" spans="7:74" x14ac:dyDescent="0.2">
      <c r="BR67" s="7"/>
      <c r="BS67" s="7"/>
      <c r="BT67" s="7" t="s">
        <v>109</v>
      </c>
      <c r="BU67" s="7"/>
      <c r="BV67" s="7"/>
    </row>
    <row r="68" spans="7:74" x14ac:dyDescent="0.2">
      <c r="BR68" s="7"/>
      <c r="BS68" s="7"/>
      <c r="BT68" s="7"/>
      <c r="BU68" s="7" t="s">
        <v>17</v>
      </c>
      <c r="BV68" s="7"/>
    </row>
    <row r="70" spans="7:74" x14ac:dyDescent="0.2">
      <c r="BO70" t="s">
        <v>107</v>
      </c>
      <c r="BP70" t="s">
        <v>105</v>
      </c>
      <c r="BQ70" t="s">
        <v>106</v>
      </c>
      <c r="BS70" t="s">
        <v>107</v>
      </c>
      <c r="BT70" t="s">
        <v>105</v>
      </c>
      <c r="BU70" t="s">
        <v>106</v>
      </c>
    </row>
    <row r="71" spans="7:74" ht="18" x14ac:dyDescent="0.25">
      <c r="BD71" s="7" t="s">
        <v>75</v>
      </c>
      <c r="BO71" s="2">
        <v>25</v>
      </c>
      <c r="BP71" s="2">
        <v>300</v>
      </c>
      <c r="BQ71" s="2">
        <v>10</v>
      </c>
      <c r="BS71" s="2">
        <v>2.39</v>
      </c>
      <c r="BT71" s="2">
        <v>9.7100000000000009</v>
      </c>
      <c r="BU71" s="2">
        <v>2.11</v>
      </c>
    </row>
    <row r="72" spans="7:74" ht="18" x14ac:dyDescent="0.25">
      <c r="BD72" s="7" t="s">
        <v>76</v>
      </c>
      <c r="BO72" s="2">
        <v>100</v>
      </c>
      <c r="BP72" s="2">
        <v>350</v>
      </c>
      <c r="BQ72" s="2">
        <v>25</v>
      </c>
      <c r="BS72" s="2">
        <v>1.04</v>
      </c>
      <c r="BT72" s="2">
        <v>6.59</v>
      </c>
      <c r="BU72" s="2">
        <v>1.4</v>
      </c>
    </row>
    <row r="73" spans="7:74" ht="18" x14ac:dyDescent="0.25">
      <c r="BO73" s="2">
        <v>50</v>
      </c>
      <c r="BP73" s="2">
        <v>250</v>
      </c>
      <c r="BQ73" s="2">
        <v>50</v>
      </c>
      <c r="BS73" s="2">
        <v>0.74</v>
      </c>
      <c r="BT73" s="2">
        <v>3.53</v>
      </c>
      <c r="BU73" s="2">
        <v>0.2</v>
      </c>
    </row>
    <row r="74" spans="7:74" x14ac:dyDescent="0.2">
      <c r="T74" s="7" t="s">
        <v>62</v>
      </c>
      <c r="BO74">
        <f>AVERAGE(BO71:BO73)</f>
        <v>58.333333333333336</v>
      </c>
      <c r="BP74">
        <f>AVERAGE(BP71:BP73)</f>
        <v>300</v>
      </c>
      <c r="BQ74">
        <f>AVERAGE(BQ71:BQ73)</f>
        <v>28.333333333333332</v>
      </c>
      <c r="BS74">
        <f>AVERAGE(BS71:BS73)</f>
        <v>1.39</v>
      </c>
      <c r="BT74">
        <f>AVERAGE(BT71:BT73)</f>
        <v>6.61</v>
      </c>
      <c r="BU74">
        <f>AVERAGE(BU71:BU73)</f>
        <v>1.2366666666666666</v>
      </c>
      <c r="BV74" s="7" t="s">
        <v>110</v>
      </c>
    </row>
    <row r="75" spans="7:74" ht="18" x14ac:dyDescent="0.25">
      <c r="G75" s="1"/>
      <c r="H75" s="1"/>
      <c r="I75" s="1"/>
      <c r="BJ75" s="1" t="s">
        <v>15</v>
      </c>
      <c r="BK75" s="1" t="s">
        <v>6</v>
      </c>
      <c r="BL75" s="1" t="s">
        <v>7</v>
      </c>
      <c r="BM75" s="1" t="s">
        <v>9</v>
      </c>
    </row>
    <row r="76" spans="7:74" ht="18" x14ac:dyDescent="0.25">
      <c r="G76" s="2"/>
      <c r="BJ76" s="2" t="s">
        <v>17</v>
      </c>
      <c r="BK76">
        <v>0.46700000000000003</v>
      </c>
      <c r="BL76">
        <v>28.3</v>
      </c>
      <c r="BM76">
        <v>1.23</v>
      </c>
    </row>
    <row r="77" spans="7:74" ht="18" x14ac:dyDescent="0.25">
      <c r="G77" s="2"/>
      <c r="BJ77" s="2" t="s">
        <v>24</v>
      </c>
      <c r="BK77">
        <v>0.92700000000000005</v>
      </c>
      <c r="BL77">
        <v>300</v>
      </c>
      <c r="BM77">
        <v>6.61</v>
      </c>
    </row>
    <row r="78" spans="7:74" ht="18" x14ac:dyDescent="0.25">
      <c r="G78" s="2"/>
      <c r="BJ78" s="2" t="s">
        <v>23</v>
      </c>
      <c r="BK78">
        <v>5.5129999999999999</v>
      </c>
      <c r="BL78">
        <v>58.3</v>
      </c>
      <c r="BM78">
        <v>1.39</v>
      </c>
    </row>
    <row r="86" spans="11:56" x14ac:dyDescent="0.2">
      <c r="BD86" s="7" t="s">
        <v>103</v>
      </c>
    </row>
    <row r="87" spans="11:56" x14ac:dyDescent="0.2">
      <c r="BD87" s="7" t="s">
        <v>104</v>
      </c>
    </row>
    <row r="90" spans="11:56" x14ac:dyDescent="0.2">
      <c r="K90" s="7" t="s">
        <v>66</v>
      </c>
    </row>
    <row r="91" spans="11:56" x14ac:dyDescent="0.2">
      <c r="K91" s="7" t="s">
        <v>67</v>
      </c>
    </row>
  </sheetData>
  <mergeCells count="6">
    <mergeCell ref="BP1:BX1"/>
    <mergeCell ref="A1:C1"/>
    <mergeCell ref="E1:H1"/>
    <mergeCell ref="AR1:AZ1"/>
    <mergeCell ref="BD1:BF1"/>
    <mergeCell ref="BH1:BK1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</vt:lpstr>
      <vt:lpstr>Secondary</vt:lpstr>
      <vt:lpstr>Survey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Elsayed</dc:creator>
  <cp:lastModifiedBy>Abdallah Elsayed</cp:lastModifiedBy>
  <dcterms:created xsi:type="dcterms:W3CDTF">2025-05-21T05:18:03Z</dcterms:created>
  <dcterms:modified xsi:type="dcterms:W3CDTF">2025-08-15T05:11:47Z</dcterms:modified>
</cp:coreProperties>
</file>